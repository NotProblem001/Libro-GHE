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CION_MENSUAL" sheetId="1" state="visible" r:id="rId1"/>
    <sheet xmlns:r="http://schemas.openxmlformats.org/officeDocument/2006/relationships" name="RESUMEN_EJECUTIVOS" sheetId="2" state="visible" r:id="rId2"/>
    <sheet xmlns:r="http://schemas.openxmlformats.org/officeDocument/2006/relationships" name="MATRIZ_COBERTURA" sheetId="3" state="visible" r:id="rId3"/>
    <sheet xmlns:r="http://schemas.openxmlformats.org/officeDocument/2006/relationships" name="ALERTAS" sheetId="4" state="visible" r:id="rId4"/>
  </sheets>
  <definedNames>
    <definedName name="_xlnm._FilterDatabase" localSheetId="0" hidden="1">'PLANIFICACION_MENSUAL'!$A$1:$V$433</definedName>
    <definedName name="_xlnm._FilterDatabase" localSheetId="1" hidden="1">'RESUMEN_EJECUTIVOS'!$A$1:$N$18</definedName>
    <definedName name="_xlnm._FilterDatabase" localSheetId="2" hidden="1">'MATRIZ_COBERTURA'!$A$1:$P$29</definedName>
    <definedName name="_xlnm._FilterDatabase" localSheetId="3" hidden="1">'ALERTAS'!$A$1:$E$2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7F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8" customWidth="1" min="3" max="3"/>
    <col width="26" customWidth="1" min="4" max="4"/>
    <col width="12" customWidth="1" min="5" max="5"/>
    <col width="11" customWidth="1" min="6" max="6"/>
    <col width="12" customWidth="1" min="7" max="7"/>
    <col width="20" customWidth="1" min="8" max="8"/>
    <col width="12" customWidth="1" min="9" max="9"/>
    <col width="9" customWidth="1" min="10" max="10"/>
    <col width="10" customWidth="1" min="11" max="11"/>
    <col width="10" customWidth="1" min="12" max="12"/>
    <col width="9" customWidth="1" min="13" max="13"/>
    <col width="10" customWidth="1" min="14" max="14"/>
    <col width="9" customWidth="1" min="15" max="15"/>
    <col width="11" customWidth="1" min="16" max="16"/>
    <col width="11" customWidth="1" min="17" max="17"/>
    <col width="10" customWidth="1" min="18" max="18"/>
    <col width="10" customWidth="1" min="19" max="19"/>
    <col width="11" customWidth="1" min="20" max="20"/>
    <col width="11" customWidth="1" min="21" max="21"/>
    <col width="10" customWidth="1" min="22" max="22"/>
  </cols>
  <sheetData>
    <row r="1">
      <c r="A1" s="1" t="inlineStr">
        <is>
          <t>RUT</t>
        </is>
      </c>
      <c r="B1" s="1" t="inlineStr">
        <is>
          <t>Estado</t>
        </is>
      </c>
      <c r="C1" s="1" t="inlineStr">
        <is>
          <t>NOMBRE</t>
        </is>
      </c>
      <c r="D1" s="1" t="inlineStr">
        <is>
          <t>SERVICIO</t>
        </is>
      </c>
      <c r="E1" s="1" t="inlineStr">
        <is>
          <t>FECHA</t>
        </is>
      </c>
      <c r="F1" s="1" t="inlineStr">
        <is>
          <t>DIA</t>
        </is>
      </c>
      <c r="G1" s="1" t="inlineStr">
        <is>
          <t>SEMANA</t>
        </is>
      </c>
      <c r="H1" s="1" t="inlineStr">
        <is>
          <t>TURNO</t>
        </is>
      </c>
      <c r="I1" s="1" t="inlineStr">
        <is>
          <t>ESTADO_DIA</t>
        </is>
      </c>
      <c r="J1" s="1" t="inlineStr">
        <is>
          <t>H_INICIO</t>
        </is>
      </c>
      <c r="K1" s="1" t="inlineStr">
        <is>
          <t>H_TERMINO</t>
        </is>
      </c>
      <c r="L1" s="1" t="inlineStr">
        <is>
          <t>DURACION</t>
        </is>
      </c>
      <c r="M1" s="1" t="inlineStr">
        <is>
          <t>Horas diarias</t>
        </is>
      </c>
      <c r="N1" s="1" t="inlineStr">
        <is>
          <t>Minutos Colacion</t>
        </is>
      </c>
      <c r="O1" s="1" t="inlineStr">
        <is>
          <t>hora colacion</t>
        </is>
      </c>
      <c r="P1" s="1" t="inlineStr">
        <is>
          <t>Total Horas Trabajadas</t>
        </is>
      </c>
      <c r="Q1" s="1" t="inlineStr">
        <is>
          <t>HORAS TRABAJADAS</t>
        </is>
      </c>
      <c r="R1" s="1" t="inlineStr">
        <is>
          <t>DESCANSO 1</t>
        </is>
      </c>
      <c r="S1" s="1" t="inlineStr">
        <is>
          <t>DESCANSO 2</t>
        </is>
      </c>
      <c r="T1" s="1" t="inlineStr">
        <is>
          <t>SALIDA COLACION</t>
        </is>
      </c>
      <c r="U1" s="1" t="inlineStr">
        <is>
          <t>ENTRADA COLACION</t>
        </is>
      </c>
      <c r="V1" s="1" t="inlineStr">
        <is>
          <t>TIEMPO COLACION</t>
        </is>
      </c>
    </row>
    <row r="2">
      <c r="A2" s="2" t="inlineStr">
        <is>
          <t>11111111-1</t>
        </is>
      </c>
      <c r="B2" s="3" t="inlineStr">
        <is>
          <t>Activo</t>
        </is>
      </c>
      <c r="C2" s="3" t="inlineStr">
        <is>
          <t>ANA PÉREZ (EJEMPLO)</t>
        </is>
      </c>
      <c r="D2" s="3" t="inlineStr">
        <is>
          <t>EXAMEN Y PROCEDIMIENTOS</t>
        </is>
      </c>
      <c r="E2" s="4" t="n">
        <v>46296</v>
      </c>
      <c r="F2" s="3" t="inlineStr">
        <is>
          <t>Jueves</t>
        </is>
      </c>
      <c r="G2" s="4" t="n">
        <v>46293</v>
      </c>
      <c r="H2" s="3" t="inlineStr">
        <is>
          <t>Tarde C/sábado</t>
        </is>
      </c>
      <c r="I2" s="3" t="inlineStr">
        <is>
          <t>TRABAJA</t>
        </is>
      </c>
      <c r="J2" s="5" t="n">
        <v>0.5</v>
      </c>
      <c r="K2" s="5" t="n">
        <v>0.8333333333333334</v>
      </c>
      <c r="L2" s="5">
        <f>IF(COUNT(J2:K2)=2,K2-J2,0)</f>
        <v/>
      </c>
      <c r="M2" s="6">
        <f>L2*24</f>
        <v/>
      </c>
      <c r="N2" s="3" t="n">
        <v>60</v>
      </c>
      <c r="O2" s="6">
        <f>N2/60</f>
        <v/>
      </c>
      <c r="P2" s="6">
        <f>M2-O2</f>
        <v/>
      </c>
      <c r="Q2" s="6">
        <f>SUMIFS($P:$P,$A:$A,A2,$G:$G,G2)</f>
        <v/>
      </c>
      <c r="R2" s="5" t="n">
        <v>0.5833333333333334</v>
      </c>
      <c r="S2" s="5" t="n">
        <v>0.7604166666666666</v>
      </c>
      <c r="T2" s="5" t="n">
        <v>0.6354166666666666</v>
      </c>
      <c r="U2" s="5" t="n">
        <v>0.6770833333333334</v>
      </c>
      <c r="V2" s="3">
        <f>IF(COUNT(T2:U2)=2,ROUND((U2-T2)*1440,0),0)</f>
        <v/>
      </c>
    </row>
    <row r="3">
      <c r="A3" s="2" t="inlineStr">
        <is>
          <t>11111111-1</t>
        </is>
      </c>
      <c r="B3" s="3" t="inlineStr">
        <is>
          <t>Activo</t>
        </is>
      </c>
      <c r="C3" s="3" t="inlineStr">
        <is>
          <t>ANA PÉREZ (EJEMPLO)</t>
        </is>
      </c>
      <c r="D3" s="3" t="inlineStr">
        <is>
          <t>EXAMEN Y PROCEDIMIENTOS</t>
        </is>
      </c>
      <c r="E3" s="4" t="n">
        <v>46297</v>
      </c>
      <c r="F3" s="3" t="inlineStr">
        <is>
          <t>Viernes</t>
        </is>
      </c>
      <c r="G3" s="4" t="n">
        <v>46293</v>
      </c>
      <c r="H3" s="3" t="inlineStr">
        <is>
          <t>Tarde C/sábado</t>
        </is>
      </c>
      <c r="I3" s="3" t="inlineStr">
        <is>
          <t>TRABAJA</t>
        </is>
      </c>
      <c r="J3" s="5" t="n">
        <v>0.5</v>
      </c>
      <c r="K3" s="5" t="n">
        <v>0.8333333333333334</v>
      </c>
      <c r="L3" s="5">
        <f>IF(COUNT(J3:K3)=2,K3-J3,0)</f>
        <v/>
      </c>
      <c r="M3" s="6">
        <f>L3*24</f>
        <v/>
      </c>
      <c r="N3" s="3" t="n">
        <v>60</v>
      </c>
      <c r="O3" s="6">
        <f>N3/60</f>
        <v/>
      </c>
      <c r="P3" s="6">
        <f>M3-O3</f>
        <v/>
      </c>
      <c r="Q3" s="6">
        <f>SUMIFS($P:$P,$A:$A,A3,$G:$G,G3)</f>
        <v/>
      </c>
      <c r="R3" s="5" t="n">
        <v>0.5833333333333334</v>
      </c>
      <c r="S3" s="5" t="n">
        <v>0.7604166666666666</v>
      </c>
      <c r="T3" s="5" t="n">
        <v>0.6354166666666666</v>
      </c>
      <c r="U3" s="5" t="n">
        <v>0.6770833333333334</v>
      </c>
      <c r="V3" s="3">
        <f>IF(COUNT(T3:U3)=2,ROUND((U3-T3)*1440,0),0)</f>
        <v/>
      </c>
    </row>
    <row r="4">
      <c r="A4" s="2" t="inlineStr">
        <is>
          <t>11111111-1</t>
        </is>
      </c>
      <c r="B4" s="3" t="inlineStr">
        <is>
          <t>Activo</t>
        </is>
      </c>
      <c r="C4" s="3" t="inlineStr">
        <is>
          <t>ANA PÉREZ (EJEMPLO)</t>
        </is>
      </c>
      <c r="D4" s="3" t="inlineStr">
        <is>
          <t>EXAMEN Y PROCEDIMIENTOS</t>
        </is>
      </c>
      <c r="E4" s="4" t="n">
        <v>46298</v>
      </c>
      <c r="F4" s="3" t="inlineStr">
        <is>
          <t>Sábado</t>
        </is>
      </c>
      <c r="G4" s="4" t="n">
        <v>46293</v>
      </c>
      <c r="H4" s="3" t="inlineStr">
        <is>
          <t>Tarde C/sábado</t>
        </is>
      </c>
      <c r="I4" s="3" t="inlineStr">
        <is>
          <t>TRABAJA</t>
        </is>
      </c>
      <c r="J4" s="5" t="n">
        <v>0.3333333333333333</v>
      </c>
      <c r="K4" s="5" t="n">
        <v>0.5833333333333334</v>
      </c>
      <c r="L4" s="5">
        <f>IF(COUNT(J4:K4)=2,K4-J4,0)</f>
        <v/>
      </c>
      <c r="M4" s="6">
        <f>L4*24</f>
        <v/>
      </c>
      <c r="N4" s="3" t="n">
        <v>30</v>
      </c>
      <c r="O4" s="6">
        <f>N4/60</f>
        <v/>
      </c>
      <c r="P4" s="6">
        <f>M4-O4</f>
        <v/>
      </c>
      <c r="Q4" s="6">
        <f>SUMIFS($P:$P,$A:$A,A4,$G:$G,G4)</f>
        <v/>
      </c>
      <c r="R4" s="5" t="n"/>
      <c r="S4" s="5" t="n"/>
      <c r="T4" s="5" t="n">
        <v>0.4375</v>
      </c>
      <c r="U4" s="5" t="n">
        <v>0.4583333333333333</v>
      </c>
      <c r="V4" s="3">
        <f>IF(COUNT(T4:U4)=2,ROUND((U4-T4)*1440,0),0)</f>
        <v/>
      </c>
    </row>
    <row r="5">
      <c r="A5" s="2" t="inlineStr">
        <is>
          <t>11111111-1</t>
        </is>
      </c>
      <c r="B5" s="3" t="inlineStr">
        <is>
          <t>Activo</t>
        </is>
      </c>
      <c r="C5" s="3" t="inlineStr">
        <is>
          <t>ANA PÉREZ (EJEMPLO)</t>
        </is>
      </c>
      <c r="D5" s="3" t="inlineStr">
        <is>
          <t>EXAMEN Y PROCEDIMIENTOS</t>
        </is>
      </c>
      <c r="E5" s="4" t="n">
        <v>46300</v>
      </c>
      <c r="F5" s="3" t="inlineStr">
        <is>
          <t>Lunes</t>
        </is>
      </c>
      <c r="G5" s="4" t="n">
        <v>46300</v>
      </c>
      <c r="H5" s="3" t="inlineStr">
        <is>
          <t>Mañana S/sábado</t>
        </is>
      </c>
      <c r="I5" s="3" t="inlineStr">
        <is>
          <t>TRABAJA</t>
        </is>
      </c>
      <c r="J5" s="5" t="n">
        <v>0.3333333333333333</v>
      </c>
      <c r="K5" s="5" t="n">
        <v>0.7291666666666666</v>
      </c>
      <c r="L5" s="5">
        <f>IF(COUNT(J5:K5)=2,K5-J5,0)</f>
        <v/>
      </c>
      <c r="M5" s="6">
        <f>L5*24</f>
        <v/>
      </c>
      <c r="N5" s="3" t="n">
        <v>60</v>
      </c>
      <c r="O5" s="6">
        <f>N5/60</f>
        <v/>
      </c>
      <c r="P5" s="6">
        <f>M5-O5</f>
        <v/>
      </c>
      <c r="Q5" s="6">
        <f>SUMIFS($P:$P,$A:$A,A5,$G:$G,G5)</f>
        <v/>
      </c>
      <c r="R5" s="5" t="n">
        <v>0.4479166666666667</v>
      </c>
      <c r="S5" s="5" t="n">
        <v>0.6770833333333334</v>
      </c>
      <c r="T5" s="5" t="n">
        <v>0.5520833333333334</v>
      </c>
      <c r="U5" s="5" t="n">
        <v>0.59375</v>
      </c>
      <c r="V5" s="3">
        <f>IF(COUNT(T5:U5)=2,ROUND((U5-T5)*1440,0),0)</f>
        <v/>
      </c>
    </row>
    <row r="6">
      <c r="A6" s="2" t="inlineStr">
        <is>
          <t>11111111-1</t>
        </is>
      </c>
      <c r="B6" s="3" t="inlineStr">
        <is>
          <t>Activo</t>
        </is>
      </c>
      <c r="C6" s="3" t="inlineStr">
        <is>
          <t>ANA PÉREZ (EJEMPLO)</t>
        </is>
      </c>
      <c r="D6" s="3" t="inlineStr">
        <is>
          <t>EXAMEN Y PROCEDIMIENTOS</t>
        </is>
      </c>
      <c r="E6" s="4" t="n">
        <v>46301</v>
      </c>
      <c r="F6" s="3" t="inlineStr">
        <is>
          <t>Martes</t>
        </is>
      </c>
      <c r="G6" s="4" t="n">
        <v>46300</v>
      </c>
      <c r="H6" s="3" t="inlineStr">
        <is>
          <t>Mañana S/sábado</t>
        </is>
      </c>
      <c r="I6" s="3" t="inlineStr">
        <is>
          <t>TRABAJA</t>
        </is>
      </c>
      <c r="J6" s="5" t="n">
        <v>0.3333333333333333</v>
      </c>
      <c r="K6" s="5" t="n">
        <v>0.7291666666666666</v>
      </c>
      <c r="L6" s="5">
        <f>IF(COUNT(J6:K6)=2,K6-J6,0)</f>
        <v/>
      </c>
      <c r="M6" s="6">
        <f>L6*24</f>
        <v/>
      </c>
      <c r="N6" s="3" t="n">
        <v>60</v>
      </c>
      <c r="O6" s="6">
        <f>N6/60</f>
        <v/>
      </c>
      <c r="P6" s="6">
        <f>M6-O6</f>
        <v/>
      </c>
      <c r="Q6" s="6">
        <f>SUMIFS($P:$P,$A:$A,A6,$G:$G,G6)</f>
        <v/>
      </c>
      <c r="R6" s="5" t="n">
        <v>0.4479166666666667</v>
      </c>
      <c r="S6" s="5" t="n">
        <v>0.6770833333333334</v>
      </c>
      <c r="T6" s="5" t="n">
        <v>0.5520833333333334</v>
      </c>
      <c r="U6" s="5" t="n">
        <v>0.59375</v>
      </c>
      <c r="V6" s="3">
        <f>IF(COUNT(T6:U6)=2,ROUND((U6-T6)*1440,0),0)</f>
        <v/>
      </c>
    </row>
    <row r="7">
      <c r="A7" s="2" t="inlineStr">
        <is>
          <t>11111111-1</t>
        </is>
      </c>
      <c r="B7" s="3" t="inlineStr">
        <is>
          <t>Activo</t>
        </is>
      </c>
      <c r="C7" s="3" t="inlineStr">
        <is>
          <t>ANA PÉREZ (EJEMPLO)</t>
        </is>
      </c>
      <c r="D7" s="3" t="inlineStr">
        <is>
          <t>EXAMEN Y PROCEDIMIENTOS</t>
        </is>
      </c>
      <c r="E7" s="4" t="n">
        <v>46302</v>
      </c>
      <c r="F7" s="3" t="inlineStr">
        <is>
          <t>Miércoles</t>
        </is>
      </c>
      <c r="G7" s="4" t="n">
        <v>46300</v>
      </c>
      <c r="H7" s="3" t="inlineStr">
        <is>
          <t>Mañana S/sábado</t>
        </is>
      </c>
      <c r="I7" s="3" t="inlineStr">
        <is>
          <t>TRABAJA</t>
        </is>
      </c>
      <c r="J7" s="5" t="n">
        <v>0.3333333333333333</v>
      </c>
      <c r="K7" s="5" t="n">
        <v>0.7291666666666666</v>
      </c>
      <c r="L7" s="5">
        <f>IF(COUNT(J7:K7)=2,K7-J7,0)</f>
        <v/>
      </c>
      <c r="M7" s="6">
        <f>L7*24</f>
        <v/>
      </c>
      <c r="N7" s="3" t="n">
        <v>60</v>
      </c>
      <c r="O7" s="6">
        <f>N7/60</f>
        <v/>
      </c>
      <c r="P7" s="6">
        <f>M7-O7</f>
        <v/>
      </c>
      <c r="Q7" s="6">
        <f>SUMIFS($P:$P,$A:$A,A7,$G:$G,G7)</f>
        <v/>
      </c>
      <c r="R7" s="5" t="n">
        <v>0.4270833333333333</v>
      </c>
      <c r="S7" s="5" t="n">
        <v>0.6458333333333334</v>
      </c>
      <c r="T7" s="5" t="n">
        <v>0.4791666666666667</v>
      </c>
      <c r="U7" s="5" t="n">
        <v>0.5208333333333334</v>
      </c>
      <c r="V7" s="3">
        <f>IF(COUNT(T7:U7)=2,ROUND((U7-T7)*1440,0),0)</f>
        <v/>
      </c>
    </row>
    <row r="8">
      <c r="A8" s="2" t="inlineStr">
        <is>
          <t>11111111-1</t>
        </is>
      </c>
      <c r="B8" s="3" t="inlineStr">
        <is>
          <t>Activo</t>
        </is>
      </c>
      <c r="C8" s="3" t="inlineStr">
        <is>
          <t>ANA PÉREZ (EJEMPLO)</t>
        </is>
      </c>
      <c r="D8" s="3" t="inlineStr">
        <is>
          <t>EXAMEN Y PROCEDIMIENTOS</t>
        </is>
      </c>
      <c r="E8" s="4" t="n">
        <v>46303</v>
      </c>
      <c r="F8" s="3" t="inlineStr">
        <is>
          <t>Jueves</t>
        </is>
      </c>
      <c r="G8" s="4" t="n">
        <v>46300</v>
      </c>
      <c r="H8" s="3" t="inlineStr">
        <is>
          <t>Mañana S/sábado</t>
        </is>
      </c>
      <c r="I8" s="3" t="inlineStr">
        <is>
          <t>TRABAJA</t>
        </is>
      </c>
      <c r="J8" s="5" t="n">
        <v>0.3333333333333333</v>
      </c>
      <c r="K8" s="5" t="n">
        <v>0.7291666666666666</v>
      </c>
      <c r="L8" s="5">
        <f>IF(COUNT(J8:K8)=2,K8-J8,0)</f>
        <v/>
      </c>
      <c r="M8" s="6">
        <f>L8*24</f>
        <v/>
      </c>
      <c r="N8" s="3" t="n">
        <v>60</v>
      </c>
      <c r="O8" s="6">
        <f>N8/60</f>
        <v/>
      </c>
      <c r="P8" s="6">
        <f>M8-O8</f>
        <v/>
      </c>
      <c r="Q8" s="6">
        <f>SUMIFS($P:$P,$A:$A,A8,$G:$G,G8)</f>
        <v/>
      </c>
      <c r="R8" s="5" t="n">
        <v>0.4270833333333333</v>
      </c>
      <c r="S8" s="5" t="n">
        <v>0.6354166666666666</v>
      </c>
      <c r="T8" s="5" t="n">
        <v>0.4791666666666667</v>
      </c>
      <c r="U8" s="5" t="n">
        <v>0.5208333333333334</v>
      </c>
      <c r="V8" s="3">
        <f>IF(COUNT(T8:U8)=2,ROUND((U8-T8)*1440,0),0)</f>
        <v/>
      </c>
    </row>
    <row r="9">
      <c r="A9" s="2" t="inlineStr">
        <is>
          <t>11111111-1</t>
        </is>
      </c>
      <c r="B9" s="3" t="inlineStr">
        <is>
          <t>Activo</t>
        </is>
      </c>
      <c r="C9" s="3" t="inlineStr">
        <is>
          <t>ANA PÉREZ (EJEMPLO)</t>
        </is>
      </c>
      <c r="D9" s="3" t="inlineStr">
        <is>
          <t>EXAMEN Y PROCEDIMIENTOS</t>
        </is>
      </c>
      <c r="E9" s="4" t="n">
        <v>46304</v>
      </c>
      <c r="F9" s="3" t="inlineStr">
        <is>
          <t>Viernes</t>
        </is>
      </c>
      <c r="G9" s="4" t="n">
        <v>46300</v>
      </c>
      <c r="H9" s="3" t="inlineStr">
        <is>
          <t>Mañana S/sábado</t>
        </is>
      </c>
      <c r="I9" s="3" t="inlineStr">
        <is>
          <t>TRABAJA</t>
        </is>
      </c>
      <c r="J9" s="5" t="n">
        <v>0.3333333333333333</v>
      </c>
      <c r="K9" s="5" t="n">
        <v>0.7083333333333334</v>
      </c>
      <c r="L9" s="5">
        <f>IF(COUNT(J9:K9)=2,K9-J9,0)</f>
        <v/>
      </c>
      <c r="M9" s="6">
        <f>L9*24</f>
        <v/>
      </c>
      <c r="N9" s="3" t="n">
        <v>60</v>
      </c>
      <c r="O9" s="6">
        <f>N9/60</f>
        <v/>
      </c>
      <c r="P9" s="6">
        <f>M9-O9</f>
        <v/>
      </c>
      <c r="Q9" s="6">
        <f>SUMIFS($P:$P,$A:$A,A9,$G:$G,G9)</f>
        <v/>
      </c>
      <c r="R9" s="5" t="n">
        <v>0.4479166666666667</v>
      </c>
      <c r="S9" s="5" t="n">
        <v>0.6666666666666666</v>
      </c>
      <c r="T9" s="5" t="n">
        <v>0.5416666666666666</v>
      </c>
      <c r="U9" s="5" t="n">
        <v>0.5833333333333334</v>
      </c>
      <c r="V9" s="3">
        <f>IF(COUNT(T9:U9)=2,ROUND((U9-T9)*1440,0),0)</f>
        <v/>
      </c>
    </row>
    <row r="10">
      <c r="A10" s="2" t="inlineStr">
        <is>
          <t>11111111-1</t>
        </is>
      </c>
      <c r="B10" s="3" t="inlineStr">
        <is>
          <t>Activo</t>
        </is>
      </c>
      <c r="C10" s="3" t="inlineStr">
        <is>
          <t>ANA PÉREZ (EJEMPLO)</t>
        </is>
      </c>
      <c r="D10" s="3" t="inlineStr">
        <is>
          <t>EXAMEN Y PROCEDIMIENTOS</t>
        </is>
      </c>
      <c r="E10" s="4" t="n">
        <v>46305</v>
      </c>
      <c r="F10" s="3" t="inlineStr">
        <is>
          <t>Sábado</t>
        </is>
      </c>
      <c r="G10" s="4" t="n">
        <v>46300</v>
      </c>
      <c r="H10" s="3" t="inlineStr">
        <is>
          <t>Mañana S/sábado</t>
        </is>
      </c>
      <c r="I10" s="3" t="inlineStr">
        <is>
          <t>LIBRE</t>
        </is>
      </c>
      <c r="J10" s="5" t="n"/>
      <c r="K10" s="5" t="n"/>
      <c r="L10" s="5">
        <f>IF(COUNT(J10:K10)=2,K10-J10,0)</f>
        <v/>
      </c>
      <c r="M10" s="6">
        <f>L10*24</f>
        <v/>
      </c>
      <c r="N10" s="3" t="n">
        <v>0</v>
      </c>
      <c r="O10" s="6">
        <f>N10/60</f>
        <v/>
      </c>
      <c r="P10" s="6">
        <f>M10-O10</f>
        <v/>
      </c>
      <c r="Q10" s="6">
        <f>SUMIFS($P:$P,$A:$A,A10,$G:$G,G10)</f>
        <v/>
      </c>
      <c r="R10" s="5" t="n"/>
      <c r="S10" s="5" t="n"/>
      <c r="T10" s="5" t="n"/>
      <c r="U10" s="5" t="n"/>
      <c r="V10" s="3">
        <f>IF(COUNT(T10:U10)=2,ROUND((U10-T10)*1440,0),0)</f>
        <v/>
      </c>
    </row>
    <row r="11">
      <c r="A11" s="2" t="inlineStr">
        <is>
          <t>11111111-1</t>
        </is>
      </c>
      <c r="B11" s="3" t="inlineStr">
        <is>
          <t>Activo</t>
        </is>
      </c>
      <c r="C11" s="3" t="inlineStr">
        <is>
          <t>ANA PÉREZ (EJEMPLO)</t>
        </is>
      </c>
      <c r="D11" s="3" t="inlineStr">
        <is>
          <t>EXAMEN Y PROCEDIMIENTOS</t>
        </is>
      </c>
      <c r="E11" s="4" t="n">
        <v>46307</v>
      </c>
      <c r="F11" s="3" t="inlineStr">
        <is>
          <t>Lunes</t>
        </is>
      </c>
      <c r="G11" s="4" t="n">
        <v>46307</v>
      </c>
      <c r="H11" s="3" t="inlineStr">
        <is>
          <t>Mañana S/sábado</t>
        </is>
      </c>
      <c r="I11" s="3" t="inlineStr">
        <is>
          <t>FERIADO</t>
        </is>
      </c>
      <c r="J11" s="5" t="n"/>
      <c r="K11" s="5" t="n"/>
      <c r="L11" s="5">
        <f>IF(COUNT(J11:K11)=2,K11-J11,0)</f>
        <v/>
      </c>
      <c r="M11" s="6">
        <f>L11*24</f>
        <v/>
      </c>
      <c r="N11" s="3" t="n">
        <v>0</v>
      </c>
      <c r="O11" s="6">
        <f>N11/60</f>
        <v/>
      </c>
      <c r="P11" s="6">
        <f>M11-O11</f>
        <v/>
      </c>
      <c r="Q11" s="6">
        <f>SUMIFS($P:$P,$A:$A,A11,$G:$G,G11)</f>
        <v/>
      </c>
      <c r="R11" s="5" t="n"/>
      <c r="S11" s="5" t="n"/>
      <c r="T11" s="5" t="n"/>
      <c r="U11" s="5" t="n"/>
      <c r="V11" s="3">
        <f>IF(COUNT(T11:U11)=2,ROUND((U11-T11)*1440,0),0)</f>
        <v/>
      </c>
    </row>
    <row r="12">
      <c r="A12" s="2" t="inlineStr">
        <is>
          <t>11111111-1</t>
        </is>
      </c>
      <c r="B12" s="3" t="inlineStr">
        <is>
          <t>Activo</t>
        </is>
      </c>
      <c r="C12" s="3" t="inlineStr">
        <is>
          <t>ANA PÉREZ (EJEMPLO)</t>
        </is>
      </c>
      <c r="D12" s="3" t="inlineStr">
        <is>
          <t>EXAMEN Y PROCEDIMIENTOS</t>
        </is>
      </c>
      <c r="E12" s="4" t="n">
        <v>46308</v>
      </c>
      <c r="F12" s="3" t="inlineStr">
        <is>
          <t>Martes</t>
        </is>
      </c>
      <c r="G12" s="4" t="n">
        <v>46307</v>
      </c>
      <c r="H12" s="3" t="inlineStr">
        <is>
          <t>Mañana S/sábado</t>
        </is>
      </c>
      <c r="I12" s="3" t="inlineStr">
        <is>
          <t>TRABAJA</t>
        </is>
      </c>
      <c r="J12" s="5" t="n">
        <v>0.3333333333333333</v>
      </c>
      <c r="K12" s="5" t="n">
        <v>0.7291666666666666</v>
      </c>
      <c r="L12" s="5">
        <f>IF(COUNT(J12:K12)=2,K12-J12,0)</f>
        <v/>
      </c>
      <c r="M12" s="6">
        <f>L12*24</f>
        <v/>
      </c>
      <c r="N12" s="3" t="n">
        <v>60</v>
      </c>
      <c r="O12" s="6">
        <f>N12/60</f>
        <v/>
      </c>
      <c r="P12" s="6">
        <f>M12-O12</f>
        <v/>
      </c>
      <c r="Q12" s="6">
        <f>SUMIFS($P:$P,$A:$A,A12,$G:$G,G12)</f>
        <v/>
      </c>
      <c r="R12" s="5" t="n">
        <v>0.4479166666666667</v>
      </c>
      <c r="S12" s="5" t="n">
        <v>0.6770833333333334</v>
      </c>
      <c r="T12" s="5" t="n">
        <v>0.5520833333333334</v>
      </c>
      <c r="U12" s="5" t="n">
        <v>0.59375</v>
      </c>
      <c r="V12" s="3">
        <f>IF(COUNT(T12:U12)=2,ROUND((U12-T12)*1440,0),0)</f>
        <v/>
      </c>
    </row>
    <row r="13">
      <c r="A13" s="2" t="inlineStr">
        <is>
          <t>11111111-1</t>
        </is>
      </c>
      <c r="B13" s="3" t="inlineStr">
        <is>
          <t>Activo</t>
        </is>
      </c>
      <c r="C13" s="3" t="inlineStr">
        <is>
          <t>ANA PÉREZ (EJEMPLO)</t>
        </is>
      </c>
      <c r="D13" s="3" t="inlineStr">
        <is>
          <t>EXAMEN Y PROCEDIMIENTOS</t>
        </is>
      </c>
      <c r="E13" s="4" t="n">
        <v>46309</v>
      </c>
      <c r="F13" s="3" t="inlineStr">
        <is>
          <t>Miércoles</t>
        </is>
      </c>
      <c r="G13" s="4" t="n">
        <v>46307</v>
      </c>
      <c r="H13" s="3" t="inlineStr">
        <is>
          <t>Mañana S/sábado</t>
        </is>
      </c>
      <c r="I13" s="3" t="inlineStr">
        <is>
          <t>TRABAJA</t>
        </is>
      </c>
      <c r="J13" s="5" t="n">
        <v>0.3333333333333333</v>
      </c>
      <c r="K13" s="5" t="n">
        <v>0.7291666666666666</v>
      </c>
      <c r="L13" s="5">
        <f>IF(COUNT(J13:K13)=2,K13-J13,0)</f>
        <v/>
      </c>
      <c r="M13" s="6">
        <f>L13*24</f>
        <v/>
      </c>
      <c r="N13" s="3" t="n">
        <v>60</v>
      </c>
      <c r="O13" s="6">
        <f>N13/60</f>
        <v/>
      </c>
      <c r="P13" s="6">
        <f>M13-O13</f>
        <v/>
      </c>
      <c r="Q13" s="6">
        <f>SUMIFS($P:$P,$A:$A,A13,$G:$G,G13)</f>
        <v/>
      </c>
      <c r="R13" s="5" t="n">
        <v>0.4270833333333333</v>
      </c>
      <c r="S13" s="5" t="n">
        <v>0.6458333333333334</v>
      </c>
      <c r="T13" s="5" t="n">
        <v>0.4791666666666667</v>
      </c>
      <c r="U13" s="5" t="n">
        <v>0.5208333333333334</v>
      </c>
      <c r="V13" s="3">
        <f>IF(COUNT(T13:U13)=2,ROUND((U13-T13)*1440,0),0)</f>
        <v/>
      </c>
    </row>
    <row r="14">
      <c r="A14" s="2" t="inlineStr">
        <is>
          <t>11111111-1</t>
        </is>
      </c>
      <c r="B14" s="3" t="inlineStr">
        <is>
          <t>Activo</t>
        </is>
      </c>
      <c r="C14" s="3" t="inlineStr">
        <is>
          <t>ANA PÉREZ (EJEMPLO)</t>
        </is>
      </c>
      <c r="D14" s="3" t="inlineStr">
        <is>
          <t>EXAMEN Y PROCEDIMIENTOS</t>
        </is>
      </c>
      <c r="E14" s="4" t="n">
        <v>46310</v>
      </c>
      <c r="F14" s="3" t="inlineStr">
        <is>
          <t>Jueves</t>
        </is>
      </c>
      <c r="G14" s="4" t="n">
        <v>46307</v>
      </c>
      <c r="H14" s="3" t="inlineStr">
        <is>
          <t>Mañana S/sábado</t>
        </is>
      </c>
      <c r="I14" s="3" t="inlineStr">
        <is>
          <t>TRABAJA</t>
        </is>
      </c>
      <c r="J14" s="5" t="n">
        <v>0.3333333333333333</v>
      </c>
      <c r="K14" s="5" t="n">
        <v>0.7291666666666666</v>
      </c>
      <c r="L14" s="5">
        <f>IF(COUNT(J14:K14)=2,K14-J14,0)</f>
        <v/>
      </c>
      <c r="M14" s="6">
        <f>L14*24</f>
        <v/>
      </c>
      <c r="N14" s="3" t="n">
        <v>60</v>
      </c>
      <c r="O14" s="6">
        <f>N14/60</f>
        <v/>
      </c>
      <c r="P14" s="6">
        <f>M14-O14</f>
        <v/>
      </c>
      <c r="Q14" s="6">
        <f>SUMIFS($P:$P,$A:$A,A14,$G:$G,G14)</f>
        <v/>
      </c>
      <c r="R14" s="5" t="n">
        <v>0.4270833333333333</v>
      </c>
      <c r="S14" s="5" t="n">
        <v>0.6354166666666666</v>
      </c>
      <c r="T14" s="5" t="n">
        <v>0.4791666666666667</v>
      </c>
      <c r="U14" s="5" t="n">
        <v>0.5208333333333334</v>
      </c>
      <c r="V14" s="3">
        <f>IF(COUNT(T14:U14)=2,ROUND((U14-T14)*1440,0),0)</f>
        <v/>
      </c>
    </row>
    <row r="15">
      <c r="A15" s="2" t="inlineStr">
        <is>
          <t>11111111-1</t>
        </is>
      </c>
      <c r="B15" s="3" t="inlineStr">
        <is>
          <t>Activo</t>
        </is>
      </c>
      <c r="C15" s="3" t="inlineStr">
        <is>
          <t>ANA PÉREZ (EJEMPLO)</t>
        </is>
      </c>
      <c r="D15" s="3" t="inlineStr">
        <is>
          <t>EXAMEN Y PROCEDIMIENTOS</t>
        </is>
      </c>
      <c r="E15" s="4" t="n">
        <v>46311</v>
      </c>
      <c r="F15" s="3" t="inlineStr">
        <is>
          <t>Viernes</t>
        </is>
      </c>
      <c r="G15" s="4" t="n">
        <v>46307</v>
      </c>
      <c r="H15" s="3" t="inlineStr">
        <is>
          <t>Mañana S/sábado</t>
        </is>
      </c>
      <c r="I15" s="3" t="inlineStr">
        <is>
          <t>TRABAJA</t>
        </is>
      </c>
      <c r="J15" s="5" t="n">
        <v>0.3333333333333333</v>
      </c>
      <c r="K15" s="5" t="n">
        <v>0.7083333333333334</v>
      </c>
      <c r="L15" s="5">
        <f>IF(COUNT(J15:K15)=2,K15-J15,0)</f>
        <v/>
      </c>
      <c r="M15" s="6">
        <f>L15*24</f>
        <v/>
      </c>
      <c r="N15" s="3" t="n">
        <v>60</v>
      </c>
      <c r="O15" s="6">
        <f>N15/60</f>
        <v/>
      </c>
      <c r="P15" s="6">
        <f>M15-O15</f>
        <v/>
      </c>
      <c r="Q15" s="6">
        <f>SUMIFS($P:$P,$A:$A,A15,$G:$G,G15)</f>
        <v/>
      </c>
      <c r="R15" s="5" t="n">
        <v>0.4479166666666667</v>
      </c>
      <c r="S15" s="5" t="n">
        <v>0.6666666666666666</v>
      </c>
      <c r="T15" s="5" t="n">
        <v>0.5416666666666666</v>
      </c>
      <c r="U15" s="5" t="n">
        <v>0.5833333333333334</v>
      </c>
      <c r="V15" s="3">
        <f>IF(COUNT(T15:U15)=2,ROUND((U15-T15)*1440,0),0)</f>
        <v/>
      </c>
    </row>
    <row r="16">
      <c r="A16" s="2" t="inlineStr">
        <is>
          <t>11111111-1</t>
        </is>
      </c>
      <c r="B16" s="3" t="inlineStr">
        <is>
          <t>Activo</t>
        </is>
      </c>
      <c r="C16" s="3" t="inlineStr">
        <is>
          <t>ANA PÉREZ (EJEMPLO)</t>
        </is>
      </c>
      <c r="D16" s="3" t="inlineStr">
        <is>
          <t>EXAMEN Y PROCEDIMIENTOS</t>
        </is>
      </c>
      <c r="E16" s="4" t="n">
        <v>46312</v>
      </c>
      <c r="F16" s="3" t="inlineStr">
        <is>
          <t>Sábado</t>
        </is>
      </c>
      <c r="G16" s="4" t="n">
        <v>46307</v>
      </c>
      <c r="H16" s="3" t="inlineStr">
        <is>
          <t>Mañana S/sábado</t>
        </is>
      </c>
      <c r="I16" s="3" t="inlineStr">
        <is>
          <t>LIBRE</t>
        </is>
      </c>
      <c r="J16" s="5" t="n"/>
      <c r="K16" s="5" t="n"/>
      <c r="L16" s="5">
        <f>IF(COUNT(J16:K16)=2,K16-J16,0)</f>
        <v/>
      </c>
      <c r="M16" s="6">
        <f>L16*24</f>
        <v/>
      </c>
      <c r="N16" s="3" t="n">
        <v>0</v>
      </c>
      <c r="O16" s="6">
        <f>N16/60</f>
        <v/>
      </c>
      <c r="P16" s="6">
        <f>M16-O16</f>
        <v/>
      </c>
      <c r="Q16" s="6">
        <f>SUMIFS($P:$P,$A:$A,A16,$G:$G,G16)</f>
        <v/>
      </c>
      <c r="R16" s="5" t="n"/>
      <c r="S16" s="5" t="n"/>
      <c r="T16" s="5" t="n"/>
      <c r="U16" s="5" t="n"/>
      <c r="V16" s="3">
        <f>IF(COUNT(T16:U16)=2,ROUND((U16-T16)*1440,0),0)</f>
        <v/>
      </c>
    </row>
    <row r="17">
      <c r="A17" s="2" t="inlineStr">
        <is>
          <t>11111111-1</t>
        </is>
      </c>
      <c r="B17" s="3" t="inlineStr">
        <is>
          <t>Activo</t>
        </is>
      </c>
      <c r="C17" s="3" t="inlineStr">
        <is>
          <t>ANA PÉREZ (EJEMPLO)</t>
        </is>
      </c>
      <c r="D17" s="3" t="inlineStr">
        <is>
          <t>EXAMEN Y PROCEDIMIENTOS</t>
        </is>
      </c>
      <c r="E17" s="4" t="n">
        <v>46314</v>
      </c>
      <c r="F17" s="3" t="inlineStr">
        <is>
          <t>Lunes</t>
        </is>
      </c>
      <c r="G17" s="4" t="n">
        <v>46314</v>
      </c>
      <c r="H17" s="3" t="inlineStr">
        <is>
          <t>Mañana C/sábado</t>
        </is>
      </c>
      <c r="I17" s="3" t="inlineStr">
        <is>
          <t>TRABAJA</t>
        </is>
      </c>
      <c r="J17" s="5" t="n">
        <v>0.3333333333333333</v>
      </c>
      <c r="K17" s="5" t="n">
        <v>0.6875</v>
      </c>
      <c r="L17" s="5">
        <f>IF(COUNT(J17:K17)=2,K17-J17,0)</f>
        <v/>
      </c>
      <c r="M17" s="6">
        <f>L17*24</f>
        <v/>
      </c>
      <c r="N17" s="3" t="n">
        <v>60</v>
      </c>
      <c r="O17" s="6">
        <f>N17/60</f>
        <v/>
      </c>
      <c r="P17" s="6">
        <f>M17-O17</f>
        <v/>
      </c>
      <c r="Q17" s="6">
        <f>SUMIFS($P:$P,$A:$A,A17,$G:$G,G17)</f>
        <v/>
      </c>
      <c r="R17" s="5" t="n">
        <v>0.4166666666666667</v>
      </c>
      <c r="S17" s="5" t="n">
        <v>0.6458333333333334</v>
      </c>
      <c r="T17" s="5" t="n">
        <v>0.4791666666666667</v>
      </c>
      <c r="U17" s="5" t="n">
        <v>0.5208333333333334</v>
      </c>
      <c r="V17" s="3">
        <f>IF(COUNT(T17:U17)=2,ROUND((U17-T17)*1440,0),0)</f>
        <v/>
      </c>
    </row>
    <row r="18">
      <c r="A18" s="2" t="inlineStr">
        <is>
          <t>11111111-1</t>
        </is>
      </c>
      <c r="B18" s="3" t="inlineStr">
        <is>
          <t>Activo</t>
        </is>
      </c>
      <c r="C18" s="3" t="inlineStr">
        <is>
          <t>ANA PÉREZ (EJEMPLO)</t>
        </is>
      </c>
      <c r="D18" s="3" t="inlineStr">
        <is>
          <t>EXAMEN Y PROCEDIMIENTOS</t>
        </is>
      </c>
      <c r="E18" s="4" t="n">
        <v>46315</v>
      </c>
      <c r="F18" s="3" t="inlineStr">
        <is>
          <t>Martes</t>
        </is>
      </c>
      <c r="G18" s="4" t="n">
        <v>46314</v>
      </c>
      <c r="H18" s="3" t="inlineStr">
        <is>
          <t>Mañana C/sábado</t>
        </is>
      </c>
      <c r="I18" s="3" t="inlineStr">
        <is>
          <t>TRABAJA</t>
        </is>
      </c>
      <c r="J18" s="5" t="n">
        <v>0.3333333333333333</v>
      </c>
      <c r="K18" s="5" t="n">
        <v>0.6875</v>
      </c>
      <c r="L18" s="5">
        <f>IF(COUNT(J18:K18)=2,K18-J18,0)</f>
        <v/>
      </c>
      <c r="M18" s="6">
        <f>L18*24</f>
        <v/>
      </c>
      <c r="N18" s="3" t="n">
        <v>60</v>
      </c>
      <c r="O18" s="6">
        <f>N18/60</f>
        <v/>
      </c>
      <c r="P18" s="6">
        <f>M18-O18</f>
        <v/>
      </c>
      <c r="Q18" s="6">
        <f>SUMIFS($P:$P,$A:$A,A18,$G:$G,G18)</f>
        <v/>
      </c>
      <c r="R18" s="5" t="n">
        <v>0.4166666666666667</v>
      </c>
      <c r="S18" s="5" t="n">
        <v>0.6458333333333334</v>
      </c>
      <c r="T18" s="5" t="n">
        <v>0.4791666666666667</v>
      </c>
      <c r="U18" s="5" t="n">
        <v>0.5208333333333334</v>
      </c>
      <c r="V18" s="3">
        <f>IF(COUNT(T18:U18)=2,ROUND((U18-T18)*1440,0),0)</f>
        <v/>
      </c>
    </row>
    <row r="19">
      <c r="A19" s="2" t="inlineStr">
        <is>
          <t>11111111-1</t>
        </is>
      </c>
      <c r="B19" s="3" t="inlineStr">
        <is>
          <t>Activo</t>
        </is>
      </c>
      <c r="C19" s="3" t="inlineStr">
        <is>
          <t>ANA PÉREZ (EJEMPLO)</t>
        </is>
      </c>
      <c r="D19" s="3" t="inlineStr">
        <is>
          <t>EXAMEN Y PROCEDIMIENTOS</t>
        </is>
      </c>
      <c r="E19" s="4" t="n">
        <v>46316</v>
      </c>
      <c r="F19" s="3" t="inlineStr">
        <is>
          <t>Miércoles</t>
        </is>
      </c>
      <c r="G19" s="4" t="n">
        <v>46314</v>
      </c>
      <c r="H19" s="3" t="inlineStr">
        <is>
          <t>Mañana C/sábado</t>
        </is>
      </c>
      <c r="I19" s="3" t="inlineStr">
        <is>
          <t>TRABAJA</t>
        </is>
      </c>
      <c r="J19" s="5" t="n">
        <v>0.3333333333333333</v>
      </c>
      <c r="K19" s="5" t="n">
        <v>0.6875</v>
      </c>
      <c r="L19" s="5">
        <f>IF(COUNT(J19:K19)=2,K19-J19,0)</f>
        <v/>
      </c>
      <c r="M19" s="6">
        <f>L19*24</f>
        <v/>
      </c>
      <c r="N19" s="3" t="n">
        <v>60</v>
      </c>
      <c r="O19" s="6">
        <f>N19/60</f>
        <v/>
      </c>
      <c r="P19" s="6">
        <f>M19-O19</f>
        <v/>
      </c>
      <c r="Q19" s="6">
        <f>SUMIFS($P:$P,$A:$A,A19,$G:$G,G19)</f>
        <v/>
      </c>
      <c r="R19" s="5" t="n">
        <v>0.4479166666666667</v>
      </c>
      <c r="S19" s="5" t="n">
        <v>0.65625</v>
      </c>
      <c r="T19" s="5" t="n">
        <v>0.53125</v>
      </c>
      <c r="U19" s="5" t="n">
        <v>0.5729166666666666</v>
      </c>
      <c r="V19" s="3">
        <f>IF(COUNT(T19:U19)=2,ROUND((U19-T19)*1440,0),0)</f>
        <v/>
      </c>
    </row>
    <row r="20">
      <c r="A20" s="2" t="inlineStr">
        <is>
          <t>11111111-1</t>
        </is>
      </c>
      <c r="B20" s="3" t="inlineStr">
        <is>
          <t>Activo</t>
        </is>
      </c>
      <c r="C20" s="3" t="inlineStr">
        <is>
          <t>ANA PÉREZ (EJEMPLO)</t>
        </is>
      </c>
      <c r="D20" s="3" t="inlineStr">
        <is>
          <t>EXAMEN Y PROCEDIMIENTOS</t>
        </is>
      </c>
      <c r="E20" s="4" t="n">
        <v>46317</v>
      </c>
      <c r="F20" s="3" t="inlineStr">
        <is>
          <t>Jueves</t>
        </is>
      </c>
      <c r="G20" s="4" t="n">
        <v>46314</v>
      </c>
      <c r="H20" s="3" t="inlineStr">
        <is>
          <t>Mañana C/sábado</t>
        </is>
      </c>
      <c r="I20" s="3" t="inlineStr">
        <is>
          <t>TRABAJA</t>
        </is>
      </c>
      <c r="J20" s="5" t="n">
        <v>0.3333333333333333</v>
      </c>
      <c r="K20" s="5" t="n">
        <v>0.6666666666666666</v>
      </c>
      <c r="L20" s="5">
        <f>IF(COUNT(J20:K20)=2,K20-J20,0)</f>
        <v/>
      </c>
      <c r="M20" s="6">
        <f>L20*24</f>
        <v/>
      </c>
      <c r="N20" s="3" t="n">
        <v>60</v>
      </c>
      <c r="O20" s="6">
        <f>N20/60</f>
        <v/>
      </c>
      <c r="P20" s="6">
        <f>M20-O20</f>
        <v/>
      </c>
      <c r="Q20" s="6">
        <f>SUMIFS($P:$P,$A:$A,A20,$G:$G,G20)</f>
        <v/>
      </c>
      <c r="R20" s="5" t="n">
        <v>0.4166666666666667</v>
      </c>
      <c r="S20" s="5" t="n">
        <v>0.6041666666666666</v>
      </c>
      <c r="T20" s="5" t="n">
        <v>0.46875</v>
      </c>
      <c r="U20" s="5" t="n">
        <v>0.5104166666666666</v>
      </c>
      <c r="V20" s="3">
        <f>IF(COUNT(T20:U20)=2,ROUND((U20-T20)*1440,0),0)</f>
        <v/>
      </c>
    </row>
    <row r="21">
      <c r="A21" s="2" t="inlineStr">
        <is>
          <t>11111111-1</t>
        </is>
      </c>
      <c r="B21" s="3" t="inlineStr">
        <is>
          <t>Activo</t>
        </is>
      </c>
      <c r="C21" s="3" t="inlineStr">
        <is>
          <t>ANA PÉREZ (EJEMPLO)</t>
        </is>
      </c>
      <c r="D21" s="3" t="inlineStr">
        <is>
          <t>EXAMEN Y PROCEDIMIENTOS</t>
        </is>
      </c>
      <c r="E21" s="4" t="n">
        <v>46318</v>
      </c>
      <c r="F21" s="3" t="inlineStr">
        <is>
          <t>Viernes</t>
        </is>
      </c>
      <c r="G21" s="4" t="n">
        <v>46314</v>
      </c>
      <c r="H21" s="3" t="inlineStr">
        <is>
          <t>Mañana C/sábado</t>
        </is>
      </c>
      <c r="I21" s="3" t="inlineStr">
        <is>
          <t>TRABAJA</t>
        </is>
      </c>
      <c r="J21" s="5" t="n">
        <v>0.3333333333333333</v>
      </c>
      <c r="K21" s="5" t="n">
        <v>0.6666666666666666</v>
      </c>
      <c r="L21" s="5">
        <f>IF(COUNT(J21:K21)=2,K21-J21,0)</f>
        <v/>
      </c>
      <c r="M21" s="6">
        <f>L21*24</f>
        <v/>
      </c>
      <c r="N21" s="3" t="n">
        <v>60</v>
      </c>
      <c r="O21" s="6">
        <f>N21/60</f>
        <v/>
      </c>
      <c r="P21" s="6">
        <f>M21-O21</f>
        <v/>
      </c>
      <c r="Q21" s="6">
        <f>SUMIFS($P:$P,$A:$A,A21,$G:$G,G21)</f>
        <v/>
      </c>
      <c r="R21" s="5" t="n">
        <v>0.4166666666666667</v>
      </c>
      <c r="S21" s="5" t="n">
        <v>0.6041666666666666</v>
      </c>
      <c r="T21" s="5" t="n">
        <v>0.46875</v>
      </c>
      <c r="U21" s="5" t="n">
        <v>0.5104166666666666</v>
      </c>
      <c r="V21" s="3">
        <f>IF(COUNT(T21:U21)=2,ROUND((U21-T21)*1440,0),0)</f>
        <v/>
      </c>
    </row>
    <row r="22">
      <c r="A22" s="2" t="inlineStr">
        <is>
          <t>11111111-1</t>
        </is>
      </c>
      <c r="B22" s="3" t="inlineStr">
        <is>
          <t>Activo</t>
        </is>
      </c>
      <c r="C22" s="3" t="inlineStr">
        <is>
          <t>ANA PÉREZ (EJEMPLO)</t>
        </is>
      </c>
      <c r="D22" s="3" t="inlineStr">
        <is>
          <t>EXAMEN Y PROCEDIMIENTOS</t>
        </is>
      </c>
      <c r="E22" s="4" t="n">
        <v>46319</v>
      </c>
      <c r="F22" s="3" t="inlineStr">
        <is>
          <t>Sábado</t>
        </is>
      </c>
      <c r="G22" s="4" t="n">
        <v>46314</v>
      </c>
      <c r="H22" s="3" t="inlineStr">
        <is>
          <t>Mañana C/sábado</t>
        </is>
      </c>
      <c r="I22" s="3" t="inlineStr">
        <is>
          <t>TRABAJA</t>
        </is>
      </c>
      <c r="J22" s="5" t="n">
        <v>0.3333333333333333</v>
      </c>
      <c r="K22" s="5" t="n">
        <v>0.5833333333333334</v>
      </c>
      <c r="L22" s="5">
        <f>IF(COUNT(J22:K22)=2,K22-J22,0)</f>
        <v/>
      </c>
      <c r="M22" s="6">
        <f>L22*24</f>
        <v/>
      </c>
      <c r="N22" s="3" t="n">
        <v>30</v>
      </c>
      <c r="O22" s="6">
        <f>N22/60</f>
        <v/>
      </c>
      <c r="P22" s="6">
        <f>M22-O22</f>
        <v/>
      </c>
      <c r="Q22" s="6">
        <f>SUMIFS($P:$P,$A:$A,A22,$G:$G,G22)</f>
        <v/>
      </c>
      <c r="R22" s="5" t="n"/>
      <c r="S22" s="5" t="n"/>
      <c r="T22" s="5" t="n">
        <v>0.4375</v>
      </c>
      <c r="U22" s="5" t="n">
        <v>0.4583333333333333</v>
      </c>
      <c r="V22" s="3">
        <f>IF(COUNT(T22:U22)=2,ROUND((U22-T22)*1440,0),0)</f>
        <v/>
      </c>
    </row>
    <row r="23">
      <c r="A23" s="2" t="inlineStr">
        <is>
          <t>11111111-1</t>
        </is>
      </c>
      <c r="B23" s="3" t="inlineStr">
        <is>
          <t>Activo</t>
        </is>
      </c>
      <c r="C23" s="3" t="inlineStr">
        <is>
          <t>ANA PÉREZ (EJEMPLO)</t>
        </is>
      </c>
      <c r="D23" s="3" t="inlineStr">
        <is>
          <t>EXAMEN Y PROCEDIMIENTOS</t>
        </is>
      </c>
      <c r="E23" s="4" t="n">
        <v>46321</v>
      </c>
      <c r="F23" s="3" t="inlineStr">
        <is>
          <t>Lunes</t>
        </is>
      </c>
      <c r="G23" s="4" t="n">
        <v>46321</v>
      </c>
      <c r="H23" s="3" t="inlineStr">
        <is>
          <t>Intermedio S/sábado</t>
        </is>
      </c>
      <c r="I23" s="3" t="inlineStr">
        <is>
          <t>TRABAJA</t>
        </is>
      </c>
      <c r="J23" s="5" t="n">
        <v>0.375</v>
      </c>
      <c r="K23" s="5" t="n">
        <v>0.7916666666666666</v>
      </c>
      <c r="L23" s="5">
        <f>IF(COUNT(J23:K23)=2,K23-J23,0)</f>
        <v/>
      </c>
      <c r="M23" s="6">
        <f>L23*24</f>
        <v/>
      </c>
      <c r="N23" s="3" t="n">
        <v>60</v>
      </c>
      <c r="O23" s="6">
        <f>N23/60</f>
        <v/>
      </c>
      <c r="P23" s="6">
        <f>M23-O23</f>
        <v/>
      </c>
      <c r="Q23" s="6">
        <f>SUMIFS($P:$P,$A:$A,A23,$G:$G,G23)</f>
        <v/>
      </c>
      <c r="R23" s="5" t="n">
        <v>0.4583333333333333</v>
      </c>
      <c r="S23" s="5" t="n">
        <v>0.71875</v>
      </c>
      <c r="T23" s="5" t="n">
        <v>0.5625</v>
      </c>
      <c r="U23" s="5" t="n">
        <v>0.6041666666666666</v>
      </c>
      <c r="V23" s="3">
        <f>IF(COUNT(T23:U23)=2,ROUND((U23-T23)*1440,0),0)</f>
        <v/>
      </c>
    </row>
    <row r="24">
      <c r="A24" s="2" t="inlineStr">
        <is>
          <t>11111111-1</t>
        </is>
      </c>
      <c r="B24" s="3" t="inlineStr">
        <is>
          <t>Activo</t>
        </is>
      </c>
      <c r="C24" s="3" t="inlineStr">
        <is>
          <t>ANA PÉREZ (EJEMPLO)</t>
        </is>
      </c>
      <c r="D24" s="3" t="inlineStr">
        <is>
          <t>EXAMEN Y PROCEDIMIENTOS</t>
        </is>
      </c>
      <c r="E24" s="4" t="n">
        <v>46322</v>
      </c>
      <c r="F24" s="3" t="inlineStr">
        <is>
          <t>Martes</t>
        </is>
      </c>
      <c r="G24" s="4" t="n">
        <v>46321</v>
      </c>
      <c r="H24" s="3" t="inlineStr">
        <is>
          <t>Intermedio S/sábado</t>
        </is>
      </c>
      <c r="I24" s="3" t="inlineStr">
        <is>
          <t>TRABAJA</t>
        </is>
      </c>
      <c r="J24" s="5" t="n">
        <v>0.375</v>
      </c>
      <c r="K24" s="5" t="n">
        <v>0.7916666666666666</v>
      </c>
      <c r="L24" s="5">
        <f>IF(COUNT(J24:K24)=2,K24-J24,0)</f>
        <v/>
      </c>
      <c r="M24" s="6">
        <f>L24*24</f>
        <v/>
      </c>
      <c r="N24" s="3" t="n">
        <v>60</v>
      </c>
      <c r="O24" s="6">
        <f>N24/60</f>
        <v/>
      </c>
      <c r="P24" s="6">
        <f>M24-O24</f>
        <v/>
      </c>
      <c r="Q24" s="6">
        <f>SUMIFS($P:$P,$A:$A,A24,$G:$G,G24)</f>
        <v/>
      </c>
      <c r="R24" s="5" t="n">
        <v>0.4583333333333333</v>
      </c>
      <c r="S24" s="5" t="n">
        <v>0.71875</v>
      </c>
      <c r="T24" s="5" t="n">
        <v>0.5625</v>
      </c>
      <c r="U24" s="5" t="n">
        <v>0.6041666666666666</v>
      </c>
      <c r="V24" s="3">
        <f>IF(COUNT(T24:U24)=2,ROUND((U24-T24)*1440,0),0)</f>
        <v/>
      </c>
    </row>
    <row r="25">
      <c r="A25" s="2" t="inlineStr">
        <is>
          <t>11111111-1</t>
        </is>
      </c>
      <c r="B25" s="3" t="inlineStr">
        <is>
          <t>Activo</t>
        </is>
      </c>
      <c r="C25" s="3" t="inlineStr">
        <is>
          <t>ANA PÉREZ (EJEMPLO)</t>
        </is>
      </c>
      <c r="D25" s="3" t="inlineStr">
        <is>
          <t>EXAMEN Y PROCEDIMIENTOS</t>
        </is>
      </c>
      <c r="E25" s="4" t="n">
        <v>46323</v>
      </c>
      <c r="F25" s="3" t="inlineStr">
        <is>
          <t>Miércoles</t>
        </is>
      </c>
      <c r="G25" s="4" t="n">
        <v>46321</v>
      </c>
      <c r="H25" s="3" t="inlineStr">
        <is>
          <t>Intermedio S/sábado</t>
        </is>
      </c>
      <c r="I25" s="3" t="inlineStr">
        <is>
          <t>TRABAJA</t>
        </is>
      </c>
      <c r="J25" s="5" t="n">
        <v>0.375</v>
      </c>
      <c r="K25" s="5" t="n">
        <v>0.75</v>
      </c>
      <c r="L25" s="5">
        <f>IF(COUNT(J25:K25)=2,K25-J25,0)</f>
        <v/>
      </c>
      <c r="M25" s="6">
        <f>L25*24</f>
        <v/>
      </c>
      <c r="N25" s="3" t="n">
        <v>60</v>
      </c>
      <c r="O25" s="6">
        <f>N25/60</f>
        <v/>
      </c>
      <c r="P25" s="6">
        <f>M25-O25</f>
        <v/>
      </c>
      <c r="Q25" s="6">
        <f>SUMIFS($P:$P,$A:$A,A25,$G:$G,G25)</f>
        <v/>
      </c>
      <c r="R25" s="5" t="n">
        <v>0.4583333333333333</v>
      </c>
      <c r="S25" s="5" t="n">
        <v>0.71875</v>
      </c>
      <c r="T25" s="5" t="n">
        <v>0.59375</v>
      </c>
      <c r="U25" s="5" t="n">
        <v>0.6354166666666666</v>
      </c>
      <c r="V25" s="3">
        <f>IF(COUNT(T25:U25)=2,ROUND((U25-T25)*1440,0),0)</f>
        <v/>
      </c>
    </row>
    <row r="26">
      <c r="A26" s="2" t="inlineStr">
        <is>
          <t>11111111-1</t>
        </is>
      </c>
      <c r="B26" s="3" t="inlineStr">
        <is>
          <t>Activo</t>
        </is>
      </c>
      <c r="C26" s="3" t="inlineStr">
        <is>
          <t>ANA PÉREZ (EJEMPLO)</t>
        </is>
      </c>
      <c r="D26" s="3" t="inlineStr">
        <is>
          <t>EXAMEN Y PROCEDIMIENTOS</t>
        </is>
      </c>
      <c r="E26" s="4" t="n">
        <v>46324</v>
      </c>
      <c r="F26" s="3" t="inlineStr">
        <is>
          <t>Jueves</t>
        </is>
      </c>
      <c r="G26" s="4" t="n">
        <v>46321</v>
      </c>
      <c r="H26" s="3" t="inlineStr">
        <is>
          <t>Intermedio S/sábado</t>
        </is>
      </c>
      <c r="I26" s="3" t="inlineStr">
        <is>
          <t>TRABAJA</t>
        </is>
      </c>
      <c r="J26" s="5" t="n">
        <v>0.375</v>
      </c>
      <c r="K26" s="5" t="n">
        <v>0.75</v>
      </c>
      <c r="L26" s="5">
        <f>IF(COUNT(J26:K26)=2,K26-J26,0)</f>
        <v/>
      </c>
      <c r="M26" s="6">
        <f>L26*24</f>
        <v/>
      </c>
      <c r="N26" s="3" t="n">
        <v>60</v>
      </c>
      <c r="O26" s="6">
        <f>N26/60</f>
        <v/>
      </c>
      <c r="P26" s="6">
        <f>M26-O26</f>
        <v/>
      </c>
      <c r="Q26" s="6">
        <f>SUMIFS($P:$P,$A:$A,A26,$G:$G,G26)</f>
        <v/>
      </c>
      <c r="R26" s="5" t="n">
        <v>0.4583333333333333</v>
      </c>
      <c r="S26" s="5" t="n">
        <v>0.6666666666666666</v>
      </c>
      <c r="T26" s="5" t="n">
        <v>0.5416666666666666</v>
      </c>
      <c r="U26" s="5" t="n">
        <v>0.5833333333333334</v>
      </c>
      <c r="V26" s="3">
        <f>IF(COUNT(T26:U26)=2,ROUND((U26-T26)*1440,0),0)</f>
        <v/>
      </c>
    </row>
    <row r="27">
      <c r="A27" s="2" t="inlineStr">
        <is>
          <t>11111111-1</t>
        </is>
      </c>
      <c r="B27" s="3" t="inlineStr">
        <is>
          <t>Activo</t>
        </is>
      </c>
      <c r="C27" s="3" t="inlineStr">
        <is>
          <t>ANA PÉREZ (EJEMPLO)</t>
        </is>
      </c>
      <c r="D27" s="3" t="inlineStr">
        <is>
          <t>EXAMEN Y PROCEDIMIENTOS</t>
        </is>
      </c>
      <c r="E27" s="4" t="n">
        <v>46325</v>
      </c>
      <c r="F27" s="3" t="inlineStr">
        <is>
          <t>Viernes</t>
        </is>
      </c>
      <c r="G27" s="4" t="n">
        <v>46321</v>
      </c>
      <c r="H27" s="3" t="inlineStr">
        <is>
          <t>Intermedio S/sábado</t>
        </is>
      </c>
      <c r="I27" s="3" t="inlineStr">
        <is>
          <t>TRABAJA</t>
        </is>
      </c>
      <c r="J27" s="5" t="n">
        <v>0.375</v>
      </c>
      <c r="K27" s="5" t="n">
        <v>0.75</v>
      </c>
      <c r="L27" s="5">
        <f>IF(COUNT(J27:K27)=2,K27-J27,0)</f>
        <v/>
      </c>
      <c r="M27" s="6">
        <f>L27*24</f>
        <v/>
      </c>
      <c r="N27" s="3" t="n">
        <v>60</v>
      </c>
      <c r="O27" s="6">
        <f>N27/60</f>
        <v/>
      </c>
      <c r="P27" s="6">
        <f>M27-O27</f>
        <v/>
      </c>
      <c r="Q27" s="6">
        <f>SUMIFS($P:$P,$A:$A,A27,$G:$G,G27)</f>
        <v/>
      </c>
      <c r="R27" s="5" t="n">
        <v>0.4583333333333333</v>
      </c>
      <c r="S27" s="5" t="n">
        <v>0.71875</v>
      </c>
      <c r="T27" s="5" t="n">
        <v>0.59375</v>
      </c>
      <c r="U27" s="5" t="n">
        <v>0.6354166666666666</v>
      </c>
      <c r="V27" s="3">
        <f>IF(COUNT(T27:U27)=2,ROUND((U27-T27)*1440,0),0)</f>
        <v/>
      </c>
    </row>
    <row r="28">
      <c r="A28" s="2" t="inlineStr">
        <is>
          <t>11111111-1</t>
        </is>
      </c>
      <c r="B28" s="3" t="inlineStr">
        <is>
          <t>Activo</t>
        </is>
      </c>
      <c r="C28" s="3" t="inlineStr">
        <is>
          <t>ANA PÉREZ (EJEMPLO)</t>
        </is>
      </c>
      <c r="D28" s="3" t="inlineStr">
        <is>
          <t>EXAMEN Y PROCEDIMIENTOS</t>
        </is>
      </c>
      <c r="E28" s="4" t="n">
        <v>46326</v>
      </c>
      <c r="F28" s="3" t="inlineStr">
        <is>
          <t>Sábado</t>
        </is>
      </c>
      <c r="G28" s="4" t="n">
        <v>46321</v>
      </c>
      <c r="H28" s="3" t="inlineStr">
        <is>
          <t>Intermedio S/sábado</t>
        </is>
      </c>
      <c r="I28" s="3" t="inlineStr">
        <is>
          <t>FERIADO</t>
        </is>
      </c>
      <c r="J28" s="5" t="n"/>
      <c r="K28" s="5" t="n"/>
      <c r="L28" s="5">
        <f>IF(COUNT(J28:K28)=2,K28-J28,0)</f>
        <v/>
      </c>
      <c r="M28" s="6">
        <f>L28*24</f>
        <v/>
      </c>
      <c r="N28" s="3" t="n">
        <v>0</v>
      </c>
      <c r="O28" s="6">
        <f>N28/60</f>
        <v/>
      </c>
      <c r="P28" s="6">
        <f>M28-O28</f>
        <v/>
      </c>
      <c r="Q28" s="6">
        <f>SUMIFS($P:$P,$A:$A,A28,$G:$G,G28)</f>
        <v/>
      </c>
      <c r="R28" s="5" t="n"/>
      <c r="S28" s="5" t="n"/>
      <c r="T28" s="5" t="n"/>
      <c r="U28" s="5" t="n"/>
      <c r="V28" s="3">
        <f>IF(COUNT(T28:U28)=2,ROUND((U28-T28)*1440,0),0)</f>
        <v/>
      </c>
    </row>
    <row r="29">
      <c r="A29" s="2" t="inlineStr">
        <is>
          <t>12222222-5</t>
        </is>
      </c>
      <c r="B29" s="3" t="inlineStr">
        <is>
          <t>Activo</t>
        </is>
      </c>
      <c r="C29" s="3" t="inlineStr">
        <is>
          <t>BRUNO SOTO (EJEMPLO)</t>
        </is>
      </c>
      <c r="D29" s="3" t="inlineStr">
        <is>
          <t>EXAMEN Y PROCEDIMIENTOS</t>
        </is>
      </c>
      <c r="E29" s="4" t="n">
        <v>46296</v>
      </c>
      <c r="F29" s="3" t="inlineStr">
        <is>
          <t>Jueves</t>
        </is>
      </c>
      <c r="G29" s="4" t="n">
        <v>46293</v>
      </c>
      <c r="H29" s="3" t="inlineStr">
        <is>
          <t>Tarde S/sábado</t>
        </is>
      </c>
      <c r="I29" s="3" t="inlineStr">
        <is>
          <t>TRABAJA</t>
        </is>
      </c>
      <c r="J29" s="5" t="n">
        <v>0.4375</v>
      </c>
      <c r="K29" s="5" t="n">
        <v>0.8333333333333334</v>
      </c>
      <c r="L29" s="5">
        <f>IF(COUNT(J29:K29)=2,K29-J29,0)</f>
        <v/>
      </c>
      <c r="M29" s="6">
        <f>L29*24</f>
        <v/>
      </c>
      <c r="N29" s="3" t="n">
        <v>60</v>
      </c>
      <c r="O29" s="6">
        <f>N29/60</f>
        <v/>
      </c>
      <c r="P29" s="6">
        <f>M29-O29</f>
        <v/>
      </c>
      <c r="Q29" s="6">
        <f>SUMIFS($P:$P,$A:$A,A29,$G:$G,G29)</f>
        <v/>
      </c>
      <c r="R29" s="5" t="n">
        <v>0.53125</v>
      </c>
      <c r="S29" s="5" t="n">
        <v>0.7708333333333334</v>
      </c>
      <c r="T29" s="5" t="n">
        <v>0.6458333333333334</v>
      </c>
      <c r="U29" s="5" t="n">
        <v>0.6875</v>
      </c>
      <c r="V29" s="3">
        <f>IF(COUNT(T29:U29)=2,ROUND((U29-T29)*1440,0),0)</f>
        <v/>
      </c>
    </row>
    <row r="30">
      <c r="A30" s="2" t="inlineStr">
        <is>
          <t>12222222-5</t>
        </is>
      </c>
      <c r="B30" s="3" t="inlineStr">
        <is>
          <t>Activo</t>
        </is>
      </c>
      <c r="C30" s="3" t="inlineStr">
        <is>
          <t>BRUNO SOTO (EJEMPLO)</t>
        </is>
      </c>
      <c r="D30" s="3" t="inlineStr">
        <is>
          <t>EXAMEN Y PROCEDIMIENTOS</t>
        </is>
      </c>
      <c r="E30" s="4" t="n">
        <v>46297</v>
      </c>
      <c r="F30" s="3" t="inlineStr">
        <is>
          <t>Viernes</t>
        </is>
      </c>
      <c r="G30" s="4" t="n">
        <v>46293</v>
      </c>
      <c r="H30" s="3" t="inlineStr">
        <is>
          <t>Tarde S/sábado</t>
        </is>
      </c>
      <c r="I30" s="3" t="inlineStr">
        <is>
          <t>TRABAJA</t>
        </is>
      </c>
      <c r="J30" s="5" t="n">
        <v>0.4583333333333333</v>
      </c>
      <c r="K30" s="5" t="n">
        <v>0.8333333333333334</v>
      </c>
      <c r="L30" s="5">
        <f>IF(COUNT(J30:K30)=2,K30-J30,0)</f>
        <v/>
      </c>
      <c r="M30" s="6">
        <f>L30*24</f>
        <v/>
      </c>
      <c r="N30" s="3" t="n">
        <v>60</v>
      </c>
      <c r="O30" s="6">
        <f>N30/60</f>
        <v/>
      </c>
      <c r="P30" s="6">
        <f>M30-O30</f>
        <v/>
      </c>
      <c r="Q30" s="6">
        <f>SUMIFS($P:$P,$A:$A,A30,$G:$G,G30)</f>
        <v/>
      </c>
      <c r="R30" s="5" t="n">
        <v>0.5416666666666666</v>
      </c>
      <c r="S30" s="5" t="n">
        <v>0.78125</v>
      </c>
      <c r="T30" s="5" t="n">
        <v>0.65625</v>
      </c>
      <c r="U30" s="5" t="n">
        <v>0.6979166666666666</v>
      </c>
      <c r="V30" s="3">
        <f>IF(COUNT(T30:U30)=2,ROUND((U30-T30)*1440,0),0)</f>
        <v/>
      </c>
    </row>
    <row r="31">
      <c r="A31" s="2" t="inlineStr">
        <is>
          <t>12222222-5</t>
        </is>
      </c>
      <c r="B31" s="3" t="inlineStr">
        <is>
          <t>Activo</t>
        </is>
      </c>
      <c r="C31" s="3" t="inlineStr">
        <is>
          <t>BRUNO SOTO (EJEMPLO)</t>
        </is>
      </c>
      <c r="D31" s="3" t="inlineStr">
        <is>
          <t>EXAMEN Y PROCEDIMIENTOS</t>
        </is>
      </c>
      <c r="E31" s="4" t="n">
        <v>46298</v>
      </c>
      <c r="F31" s="3" t="inlineStr">
        <is>
          <t>Sábado</t>
        </is>
      </c>
      <c r="G31" s="4" t="n">
        <v>46293</v>
      </c>
      <c r="H31" s="3" t="inlineStr">
        <is>
          <t>Tarde S/sábado</t>
        </is>
      </c>
      <c r="I31" s="3" t="inlineStr">
        <is>
          <t>LIBRE</t>
        </is>
      </c>
      <c r="J31" s="5" t="n"/>
      <c r="K31" s="5" t="n"/>
      <c r="L31" s="5">
        <f>IF(COUNT(J31:K31)=2,K31-J31,0)</f>
        <v/>
      </c>
      <c r="M31" s="6">
        <f>L31*24</f>
        <v/>
      </c>
      <c r="N31" s="3" t="n">
        <v>0</v>
      </c>
      <c r="O31" s="6">
        <f>N31/60</f>
        <v/>
      </c>
      <c r="P31" s="6">
        <f>M31-O31</f>
        <v/>
      </c>
      <c r="Q31" s="6">
        <f>SUMIFS($P:$P,$A:$A,A31,$G:$G,G31)</f>
        <v/>
      </c>
      <c r="R31" s="5" t="n"/>
      <c r="S31" s="5" t="n"/>
      <c r="T31" s="5" t="n"/>
      <c r="U31" s="5" t="n"/>
      <c r="V31" s="3">
        <f>IF(COUNT(T31:U31)=2,ROUND((U31-T31)*1440,0),0)</f>
        <v/>
      </c>
    </row>
    <row r="32">
      <c r="A32" s="2" t="inlineStr">
        <is>
          <t>12222222-5</t>
        </is>
      </c>
      <c r="B32" s="3" t="inlineStr">
        <is>
          <t>Activo</t>
        </is>
      </c>
      <c r="C32" s="3" t="inlineStr">
        <is>
          <t>BRUNO SOTO (EJEMPLO)</t>
        </is>
      </c>
      <c r="D32" s="3" t="inlineStr">
        <is>
          <t>EXAMEN Y PROCEDIMIENTOS</t>
        </is>
      </c>
      <c r="E32" s="4" t="n">
        <v>46300</v>
      </c>
      <c r="F32" s="3" t="inlineStr">
        <is>
          <t>Lunes</t>
        </is>
      </c>
      <c r="G32" s="4" t="n">
        <v>46300</v>
      </c>
      <c r="H32" s="3" t="inlineStr">
        <is>
          <t>Mañana S/sábado</t>
        </is>
      </c>
      <c r="I32" s="3" t="inlineStr">
        <is>
          <t>TRABAJA</t>
        </is>
      </c>
      <c r="J32" s="5" t="n">
        <v>0.3333333333333333</v>
      </c>
      <c r="K32" s="5" t="n">
        <v>0.7291666666666666</v>
      </c>
      <c r="L32" s="5">
        <f>IF(COUNT(J32:K32)=2,K32-J32,0)</f>
        <v/>
      </c>
      <c r="M32" s="6">
        <f>L32*24</f>
        <v/>
      </c>
      <c r="N32" s="3" t="n">
        <v>60</v>
      </c>
      <c r="O32" s="6">
        <f>N32/60</f>
        <v/>
      </c>
      <c r="P32" s="6">
        <f>M32-O32</f>
        <v/>
      </c>
      <c r="Q32" s="6">
        <f>SUMIFS($P:$P,$A:$A,A32,$G:$G,G32)</f>
        <v/>
      </c>
      <c r="R32" s="5" t="n">
        <v>0.4270833333333333</v>
      </c>
      <c r="S32" s="5" t="n">
        <v>0.6666666666666666</v>
      </c>
      <c r="T32" s="5" t="n">
        <v>0.5104166666666666</v>
      </c>
      <c r="U32" s="5" t="n">
        <v>0.5520833333333334</v>
      </c>
      <c r="V32" s="3">
        <f>IF(COUNT(T32:U32)=2,ROUND((U32-T32)*1440,0),0)</f>
        <v/>
      </c>
    </row>
    <row r="33">
      <c r="A33" s="2" t="inlineStr">
        <is>
          <t>12222222-5</t>
        </is>
      </c>
      <c r="B33" s="3" t="inlineStr">
        <is>
          <t>Activo</t>
        </is>
      </c>
      <c r="C33" s="3" t="inlineStr">
        <is>
          <t>BRUNO SOTO (EJEMPLO)</t>
        </is>
      </c>
      <c r="D33" s="3" t="inlineStr">
        <is>
          <t>EXAMEN Y PROCEDIMIENTOS</t>
        </is>
      </c>
      <c r="E33" s="4" t="n">
        <v>46301</v>
      </c>
      <c r="F33" s="3" t="inlineStr">
        <is>
          <t>Martes</t>
        </is>
      </c>
      <c r="G33" s="4" t="n">
        <v>46300</v>
      </c>
      <c r="H33" s="3" t="inlineStr">
        <is>
          <t>Mañana S/sábado</t>
        </is>
      </c>
      <c r="I33" s="3" t="inlineStr">
        <is>
          <t>TRABAJA</t>
        </is>
      </c>
      <c r="J33" s="5" t="n">
        <v>0.3333333333333333</v>
      </c>
      <c r="K33" s="5" t="n">
        <v>0.7291666666666666</v>
      </c>
      <c r="L33" s="5">
        <f>IF(COUNT(J33:K33)=2,K33-J33,0)</f>
        <v/>
      </c>
      <c r="M33" s="6">
        <f>L33*24</f>
        <v/>
      </c>
      <c r="N33" s="3" t="n">
        <v>60</v>
      </c>
      <c r="O33" s="6">
        <f>N33/60</f>
        <v/>
      </c>
      <c r="P33" s="6">
        <f>M33-O33</f>
        <v/>
      </c>
      <c r="Q33" s="6">
        <f>SUMIFS($P:$P,$A:$A,A33,$G:$G,G33)</f>
        <v/>
      </c>
      <c r="R33" s="5" t="n">
        <v>0.4270833333333333</v>
      </c>
      <c r="S33" s="5" t="n">
        <v>0.6666666666666666</v>
      </c>
      <c r="T33" s="5" t="n">
        <v>0.5104166666666666</v>
      </c>
      <c r="U33" s="5" t="n">
        <v>0.5520833333333334</v>
      </c>
      <c r="V33" s="3">
        <f>IF(COUNT(T33:U33)=2,ROUND((U33-T33)*1440,0),0)</f>
        <v/>
      </c>
    </row>
    <row r="34">
      <c r="A34" s="2" t="inlineStr">
        <is>
          <t>12222222-5</t>
        </is>
      </c>
      <c r="B34" s="3" t="inlineStr">
        <is>
          <t>Activo</t>
        </is>
      </c>
      <c r="C34" s="3" t="inlineStr">
        <is>
          <t>BRUNO SOTO (EJEMPLO)</t>
        </is>
      </c>
      <c r="D34" s="3" t="inlineStr">
        <is>
          <t>EXAMEN Y PROCEDIMIENTOS</t>
        </is>
      </c>
      <c r="E34" s="4" t="n">
        <v>46302</v>
      </c>
      <c r="F34" s="3" t="inlineStr">
        <is>
          <t>Miércoles</t>
        </is>
      </c>
      <c r="G34" s="4" t="n">
        <v>46300</v>
      </c>
      <c r="H34" s="3" t="inlineStr">
        <is>
          <t>Mañana S/sábado</t>
        </is>
      </c>
      <c r="I34" s="3" t="inlineStr">
        <is>
          <t>TRABAJA</t>
        </is>
      </c>
      <c r="J34" s="5" t="n">
        <v>0.3333333333333333</v>
      </c>
      <c r="K34" s="5" t="n">
        <v>0.7291666666666666</v>
      </c>
      <c r="L34" s="5">
        <f>IF(COUNT(J34:K34)=2,K34-J34,0)</f>
        <v/>
      </c>
      <c r="M34" s="6">
        <f>L34*24</f>
        <v/>
      </c>
      <c r="N34" s="3" t="n">
        <v>60</v>
      </c>
      <c r="O34" s="6">
        <f>N34/60</f>
        <v/>
      </c>
      <c r="P34" s="6">
        <f>M34-O34</f>
        <v/>
      </c>
      <c r="Q34" s="6">
        <f>SUMIFS($P:$P,$A:$A,A34,$G:$G,G34)</f>
        <v/>
      </c>
      <c r="R34" s="5" t="n">
        <v>0.4479166666666667</v>
      </c>
      <c r="S34" s="5" t="n">
        <v>0.6875</v>
      </c>
      <c r="T34" s="5" t="n">
        <v>0.5520833333333334</v>
      </c>
      <c r="U34" s="5" t="n">
        <v>0.59375</v>
      </c>
      <c r="V34" s="3">
        <f>IF(COUNT(T34:U34)=2,ROUND((U34-T34)*1440,0),0)</f>
        <v/>
      </c>
    </row>
    <row r="35">
      <c r="A35" s="2" t="inlineStr">
        <is>
          <t>12222222-5</t>
        </is>
      </c>
      <c r="B35" s="3" t="inlineStr">
        <is>
          <t>Activo</t>
        </is>
      </c>
      <c r="C35" s="3" t="inlineStr">
        <is>
          <t>BRUNO SOTO (EJEMPLO)</t>
        </is>
      </c>
      <c r="D35" s="3" t="inlineStr">
        <is>
          <t>EXAMEN Y PROCEDIMIENTOS</t>
        </is>
      </c>
      <c r="E35" s="4" t="n">
        <v>46303</v>
      </c>
      <c r="F35" s="3" t="inlineStr">
        <is>
          <t>Jueves</t>
        </is>
      </c>
      <c r="G35" s="4" t="n">
        <v>46300</v>
      </c>
      <c r="H35" s="3" t="inlineStr">
        <is>
          <t>Mañana S/sábado</t>
        </is>
      </c>
      <c r="I35" s="3" t="inlineStr">
        <is>
          <t>TRABAJA</t>
        </is>
      </c>
      <c r="J35" s="5" t="n">
        <v>0.3333333333333333</v>
      </c>
      <c r="K35" s="5" t="n">
        <v>0.7291666666666666</v>
      </c>
      <c r="L35" s="5">
        <f>IF(COUNT(J35:K35)=2,K35-J35,0)</f>
        <v/>
      </c>
      <c r="M35" s="6">
        <f>L35*24</f>
        <v/>
      </c>
      <c r="N35" s="3" t="n">
        <v>60</v>
      </c>
      <c r="O35" s="6">
        <f>N35/60</f>
        <v/>
      </c>
      <c r="P35" s="6">
        <f>M35-O35</f>
        <v/>
      </c>
      <c r="Q35" s="6">
        <f>SUMIFS($P:$P,$A:$A,A35,$G:$G,G35)</f>
        <v/>
      </c>
      <c r="R35" s="5" t="n">
        <v>0.4479166666666667</v>
      </c>
      <c r="S35" s="5" t="n">
        <v>0.6979166666666666</v>
      </c>
      <c r="T35" s="5" t="n">
        <v>0.5625</v>
      </c>
      <c r="U35" s="5" t="n">
        <v>0.6041666666666666</v>
      </c>
      <c r="V35" s="3">
        <f>IF(COUNT(T35:U35)=2,ROUND((U35-T35)*1440,0),0)</f>
        <v/>
      </c>
    </row>
    <row r="36">
      <c r="A36" s="2" t="inlineStr">
        <is>
          <t>12222222-5</t>
        </is>
      </c>
      <c r="B36" s="3" t="inlineStr">
        <is>
          <t>Activo</t>
        </is>
      </c>
      <c r="C36" s="3" t="inlineStr">
        <is>
          <t>BRUNO SOTO (EJEMPLO)</t>
        </is>
      </c>
      <c r="D36" s="3" t="inlineStr">
        <is>
          <t>EXAMEN Y PROCEDIMIENTOS</t>
        </is>
      </c>
      <c r="E36" s="4" t="n">
        <v>46304</v>
      </c>
      <c r="F36" s="3" t="inlineStr">
        <is>
          <t>Viernes</t>
        </is>
      </c>
      <c r="G36" s="4" t="n">
        <v>46300</v>
      </c>
      <c r="H36" s="3" t="inlineStr">
        <is>
          <t>Mañana S/sábado</t>
        </is>
      </c>
      <c r="I36" s="3" t="inlineStr">
        <is>
          <t>TRABAJA</t>
        </is>
      </c>
      <c r="J36" s="5" t="n">
        <v>0.3333333333333333</v>
      </c>
      <c r="K36" s="5" t="n">
        <v>0.7083333333333334</v>
      </c>
      <c r="L36" s="5">
        <f>IF(COUNT(J36:K36)=2,K36-J36,0)</f>
        <v/>
      </c>
      <c r="M36" s="6">
        <f>L36*24</f>
        <v/>
      </c>
      <c r="N36" s="3" t="n">
        <v>60</v>
      </c>
      <c r="O36" s="6">
        <f>N36/60</f>
        <v/>
      </c>
      <c r="P36" s="6">
        <f>M36-O36</f>
        <v/>
      </c>
      <c r="Q36" s="6">
        <f>SUMIFS($P:$P,$A:$A,A36,$G:$G,G36)</f>
        <v/>
      </c>
      <c r="R36" s="5" t="n">
        <v>0.4270833333333333</v>
      </c>
      <c r="S36" s="5" t="n">
        <v>0.6770833333333334</v>
      </c>
      <c r="T36" s="5" t="n">
        <v>0.5520833333333334</v>
      </c>
      <c r="U36" s="5" t="n">
        <v>0.59375</v>
      </c>
      <c r="V36" s="3">
        <f>IF(COUNT(T36:U36)=2,ROUND((U36-T36)*1440,0),0)</f>
        <v/>
      </c>
    </row>
    <row r="37">
      <c r="A37" s="2" t="inlineStr">
        <is>
          <t>12222222-5</t>
        </is>
      </c>
      <c r="B37" s="3" t="inlineStr">
        <is>
          <t>Activo</t>
        </is>
      </c>
      <c r="C37" s="3" t="inlineStr">
        <is>
          <t>BRUNO SOTO (EJEMPLO)</t>
        </is>
      </c>
      <c r="D37" s="3" t="inlineStr">
        <is>
          <t>EXAMEN Y PROCEDIMIENTOS</t>
        </is>
      </c>
      <c r="E37" s="4" t="n">
        <v>46305</v>
      </c>
      <c r="F37" s="3" t="inlineStr">
        <is>
          <t>Sábado</t>
        </is>
      </c>
      <c r="G37" s="4" t="n">
        <v>46300</v>
      </c>
      <c r="H37" s="3" t="inlineStr">
        <is>
          <t>Mañana S/sábado</t>
        </is>
      </c>
      <c r="I37" s="3" t="inlineStr">
        <is>
          <t>LIBRE</t>
        </is>
      </c>
      <c r="J37" s="5" t="n"/>
      <c r="K37" s="5" t="n"/>
      <c r="L37" s="5">
        <f>IF(COUNT(J37:K37)=2,K37-J37,0)</f>
        <v/>
      </c>
      <c r="M37" s="6">
        <f>L37*24</f>
        <v/>
      </c>
      <c r="N37" s="3" t="n">
        <v>0</v>
      </c>
      <c r="O37" s="6">
        <f>N37/60</f>
        <v/>
      </c>
      <c r="P37" s="6">
        <f>M37-O37</f>
        <v/>
      </c>
      <c r="Q37" s="6">
        <f>SUMIFS($P:$P,$A:$A,A37,$G:$G,G37)</f>
        <v/>
      </c>
      <c r="R37" s="5" t="n"/>
      <c r="S37" s="5" t="n"/>
      <c r="T37" s="5" t="n"/>
      <c r="U37" s="5" t="n"/>
      <c r="V37" s="3">
        <f>IF(COUNT(T37:U37)=2,ROUND((U37-T37)*1440,0),0)</f>
        <v/>
      </c>
    </row>
    <row r="38">
      <c r="A38" s="2" t="inlineStr">
        <is>
          <t>12222222-5</t>
        </is>
      </c>
      <c r="B38" s="3" t="inlineStr">
        <is>
          <t>Activo</t>
        </is>
      </c>
      <c r="C38" s="3" t="inlineStr">
        <is>
          <t>BRUNO SOTO (EJEMPLO)</t>
        </is>
      </c>
      <c r="D38" s="3" t="inlineStr">
        <is>
          <t>EXAMEN Y PROCEDIMIENTOS</t>
        </is>
      </c>
      <c r="E38" s="4" t="n">
        <v>46307</v>
      </c>
      <c r="F38" s="3" t="inlineStr">
        <is>
          <t>Lunes</t>
        </is>
      </c>
      <c r="G38" s="4" t="n">
        <v>46307</v>
      </c>
      <c r="H38" s="3" t="inlineStr">
        <is>
          <t>Mañana C/sábado</t>
        </is>
      </c>
      <c r="I38" s="3" t="inlineStr">
        <is>
          <t>FERIADO</t>
        </is>
      </c>
      <c r="J38" s="5" t="n"/>
      <c r="K38" s="5" t="n"/>
      <c r="L38" s="5">
        <f>IF(COUNT(J38:K38)=2,K38-J38,0)</f>
        <v/>
      </c>
      <c r="M38" s="6">
        <f>L38*24</f>
        <v/>
      </c>
      <c r="N38" s="3" t="n">
        <v>0</v>
      </c>
      <c r="O38" s="6">
        <f>N38/60</f>
        <v/>
      </c>
      <c r="P38" s="6">
        <f>M38-O38</f>
        <v/>
      </c>
      <c r="Q38" s="6">
        <f>SUMIFS($P:$P,$A:$A,A38,$G:$G,G38)</f>
        <v/>
      </c>
      <c r="R38" s="5" t="n"/>
      <c r="S38" s="5" t="n"/>
      <c r="T38" s="5" t="n"/>
      <c r="U38" s="5" t="n"/>
      <c r="V38" s="3">
        <f>IF(COUNT(T38:U38)=2,ROUND((U38-T38)*1440,0),0)</f>
        <v/>
      </c>
    </row>
    <row r="39">
      <c r="A39" s="2" t="inlineStr">
        <is>
          <t>12222222-5</t>
        </is>
      </c>
      <c r="B39" s="3" t="inlineStr">
        <is>
          <t>Activo</t>
        </is>
      </c>
      <c r="C39" s="3" t="inlineStr">
        <is>
          <t>BRUNO SOTO (EJEMPLO)</t>
        </is>
      </c>
      <c r="D39" s="3" t="inlineStr">
        <is>
          <t>EXAMEN Y PROCEDIMIENTOS</t>
        </is>
      </c>
      <c r="E39" s="4" t="n">
        <v>46308</v>
      </c>
      <c r="F39" s="3" t="inlineStr">
        <is>
          <t>Martes</t>
        </is>
      </c>
      <c r="G39" s="4" t="n">
        <v>46307</v>
      </c>
      <c r="H39" s="3" t="inlineStr">
        <is>
          <t>Mañana C/sábado</t>
        </is>
      </c>
      <c r="I39" s="3" t="inlineStr">
        <is>
          <t>TRABAJA</t>
        </is>
      </c>
      <c r="J39" s="5" t="n">
        <v>0.3333333333333333</v>
      </c>
      <c r="K39" s="5" t="n">
        <v>0.6875</v>
      </c>
      <c r="L39" s="5">
        <f>IF(COUNT(J39:K39)=2,K39-J39,0)</f>
        <v/>
      </c>
      <c r="M39" s="6">
        <f>L39*24</f>
        <v/>
      </c>
      <c r="N39" s="3" t="n">
        <v>60</v>
      </c>
      <c r="O39" s="6">
        <f>N39/60</f>
        <v/>
      </c>
      <c r="P39" s="6">
        <f>M39-O39</f>
        <v/>
      </c>
      <c r="Q39" s="6">
        <f>SUMIFS($P:$P,$A:$A,A39,$G:$G,G39)</f>
        <v/>
      </c>
      <c r="R39" s="5" t="n">
        <v>0.4166666666666667</v>
      </c>
      <c r="S39" s="5" t="n">
        <v>0.59375</v>
      </c>
      <c r="T39" s="5" t="n">
        <v>0.46875</v>
      </c>
      <c r="U39" s="5" t="n">
        <v>0.5104166666666666</v>
      </c>
      <c r="V39" s="3">
        <f>IF(COUNT(T39:U39)=2,ROUND((U39-T39)*1440,0),0)</f>
        <v/>
      </c>
    </row>
    <row r="40">
      <c r="A40" s="2" t="inlineStr">
        <is>
          <t>12222222-5</t>
        </is>
      </c>
      <c r="B40" s="3" t="inlineStr">
        <is>
          <t>Activo</t>
        </is>
      </c>
      <c r="C40" s="3" t="inlineStr">
        <is>
          <t>BRUNO SOTO (EJEMPLO)</t>
        </is>
      </c>
      <c r="D40" s="3" t="inlineStr">
        <is>
          <t>EXAMEN Y PROCEDIMIENTOS</t>
        </is>
      </c>
      <c r="E40" s="4" t="n">
        <v>46309</v>
      </c>
      <c r="F40" s="3" t="inlineStr">
        <is>
          <t>Miércoles</t>
        </is>
      </c>
      <c r="G40" s="4" t="n">
        <v>46307</v>
      </c>
      <c r="H40" s="3" t="inlineStr">
        <is>
          <t>Mañana C/sábado</t>
        </is>
      </c>
      <c r="I40" s="3" t="inlineStr">
        <is>
          <t>TRABAJA</t>
        </is>
      </c>
      <c r="J40" s="5" t="n">
        <v>0.3333333333333333</v>
      </c>
      <c r="K40" s="5" t="n">
        <v>0.6875</v>
      </c>
      <c r="L40" s="5">
        <f>IF(COUNT(J40:K40)=2,K40-J40,0)</f>
        <v/>
      </c>
      <c r="M40" s="6">
        <f>L40*24</f>
        <v/>
      </c>
      <c r="N40" s="3" t="n">
        <v>60</v>
      </c>
      <c r="O40" s="6">
        <f>N40/60</f>
        <v/>
      </c>
      <c r="P40" s="6">
        <f>M40-O40</f>
        <v/>
      </c>
      <c r="Q40" s="6">
        <f>SUMIFS($P:$P,$A:$A,A40,$G:$G,G40)</f>
        <v/>
      </c>
      <c r="R40" s="5" t="n">
        <v>0.4166666666666667</v>
      </c>
      <c r="S40" s="5" t="n">
        <v>0.625</v>
      </c>
      <c r="T40" s="5" t="n">
        <v>0.46875</v>
      </c>
      <c r="U40" s="5" t="n">
        <v>0.5104166666666666</v>
      </c>
      <c r="V40" s="3">
        <f>IF(COUNT(T40:U40)=2,ROUND((U40-T40)*1440,0),0)</f>
        <v/>
      </c>
    </row>
    <row r="41">
      <c r="A41" s="2" t="inlineStr">
        <is>
          <t>12222222-5</t>
        </is>
      </c>
      <c r="B41" s="3" t="inlineStr">
        <is>
          <t>Activo</t>
        </is>
      </c>
      <c r="C41" s="3" t="inlineStr">
        <is>
          <t>BRUNO SOTO (EJEMPLO)</t>
        </is>
      </c>
      <c r="D41" s="3" t="inlineStr">
        <is>
          <t>EXAMEN Y PROCEDIMIENTOS</t>
        </is>
      </c>
      <c r="E41" s="4" t="n">
        <v>46310</v>
      </c>
      <c r="F41" s="3" t="inlineStr">
        <is>
          <t>Jueves</t>
        </is>
      </c>
      <c r="G41" s="4" t="n">
        <v>46307</v>
      </c>
      <c r="H41" s="3" t="inlineStr">
        <is>
          <t>Mañana C/sábado</t>
        </is>
      </c>
      <c r="I41" s="3" t="inlineStr">
        <is>
          <t>TRABAJA</t>
        </is>
      </c>
      <c r="J41" s="5" t="n">
        <v>0.3333333333333333</v>
      </c>
      <c r="K41" s="5" t="n">
        <v>0.6666666666666666</v>
      </c>
      <c r="L41" s="5">
        <f>IF(COUNT(J41:K41)=2,K41-J41,0)</f>
        <v/>
      </c>
      <c r="M41" s="6">
        <f>L41*24</f>
        <v/>
      </c>
      <c r="N41" s="3" t="n">
        <v>60</v>
      </c>
      <c r="O41" s="6">
        <f>N41/60</f>
        <v/>
      </c>
      <c r="P41" s="6">
        <f>M41-O41</f>
        <v/>
      </c>
      <c r="Q41" s="6">
        <f>SUMIFS($P:$P,$A:$A,A41,$G:$G,G41)</f>
        <v/>
      </c>
      <c r="R41" s="5" t="n">
        <v>0.4166666666666667</v>
      </c>
      <c r="S41" s="5" t="n">
        <v>0.625</v>
      </c>
      <c r="T41" s="5" t="n">
        <v>0.46875</v>
      </c>
      <c r="U41" s="5" t="n">
        <v>0.5104166666666666</v>
      </c>
      <c r="V41" s="3">
        <f>IF(COUNT(T41:U41)=2,ROUND((U41-T41)*1440,0),0)</f>
        <v/>
      </c>
    </row>
    <row r="42">
      <c r="A42" s="2" t="inlineStr">
        <is>
          <t>12222222-5</t>
        </is>
      </c>
      <c r="B42" s="3" t="inlineStr">
        <is>
          <t>Activo</t>
        </is>
      </c>
      <c r="C42" s="3" t="inlineStr">
        <is>
          <t>BRUNO SOTO (EJEMPLO)</t>
        </is>
      </c>
      <c r="D42" s="3" t="inlineStr">
        <is>
          <t>EXAMEN Y PROCEDIMIENTOS</t>
        </is>
      </c>
      <c r="E42" s="4" t="n">
        <v>46311</v>
      </c>
      <c r="F42" s="3" t="inlineStr">
        <is>
          <t>Viernes</t>
        </is>
      </c>
      <c r="G42" s="4" t="n">
        <v>46307</v>
      </c>
      <c r="H42" s="3" t="inlineStr">
        <is>
          <t>Mañana C/sábado</t>
        </is>
      </c>
      <c r="I42" s="3" t="inlineStr">
        <is>
          <t>TRABAJA</t>
        </is>
      </c>
      <c r="J42" s="5" t="n">
        <v>0.3333333333333333</v>
      </c>
      <c r="K42" s="5" t="n">
        <v>0.6666666666666666</v>
      </c>
      <c r="L42" s="5">
        <f>IF(COUNT(J42:K42)=2,K42-J42,0)</f>
        <v/>
      </c>
      <c r="M42" s="6">
        <f>L42*24</f>
        <v/>
      </c>
      <c r="N42" s="3" t="n">
        <v>60</v>
      </c>
      <c r="O42" s="6">
        <f>N42/60</f>
        <v/>
      </c>
      <c r="P42" s="6">
        <f>M42-O42</f>
        <v/>
      </c>
      <c r="Q42" s="6">
        <f>SUMIFS($P:$P,$A:$A,A42,$G:$G,G42)</f>
        <v/>
      </c>
      <c r="R42" s="5" t="n">
        <v>0.4166666666666667</v>
      </c>
      <c r="S42" s="5" t="n">
        <v>0.6145833333333334</v>
      </c>
      <c r="T42" s="5" t="n">
        <v>0.46875</v>
      </c>
      <c r="U42" s="5" t="n">
        <v>0.5104166666666666</v>
      </c>
      <c r="V42" s="3">
        <f>IF(COUNT(T42:U42)=2,ROUND((U42-T42)*1440,0),0)</f>
        <v/>
      </c>
    </row>
    <row r="43">
      <c r="A43" s="2" t="inlineStr">
        <is>
          <t>12222222-5</t>
        </is>
      </c>
      <c r="B43" s="3" t="inlineStr">
        <is>
          <t>Activo</t>
        </is>
      </c>
      <c r="C43" s="3" t="inlineStr">
        <is>
          <t>BRUNO SOTO (EJEMPLO)</t>
        </is>
      </c>
      <c r="D43" s="3" t="inlineStr">
        <is>
          <t>EXAMEN Y PROCEDIMIENTOS</t>
        </is>
      </c>
      <c r="E43" s="4" t="n">
        <v>46312</v>
      </c>
      <c r="F43" s="3" t="inlineStr">
        <is>
          <t>Sábado</t>
        </is>
      </c>
      <c r="G43" s="4" t="n">
        <v>46307</v>
      </c>
      <c r="H43" s="3" t="inlineStr">
        <is>
          <t>Mañana C/sábado</t>
        </is>
      </c>
      <c r="I43" s="3" t="inlineStr">
        <is>
          <t>TRABAJA</t>
        </is>
      </c>
      <c r="J43" s="5" t="n">
        <v>0.3333333333333333</v>
      </c>
      <c r="K43" s="5" t="n">
        <v>0.5833333333333334</v>
      </c>
      <c r="L43" s="5">
        <f>IF(COUNT(J43:K43)=2,K43-J43,0)</f>
        <v/>
      </c>
      <c r="M43" s="6">
        <f>L43*24</f>
        <v/>
      </c>
      <c r="N43" s="3" t="n">
        <v>30</v>
      </c>
      <c r="O43" s="6">
        <f>N43/60</f>
        <v/>
      </c>
      <c r="P43" s="6">
        <f>M43-O43</f>
        <v/>
      </c>
      <c r="Q43" s="6">
        <f>SUMIFS($P:$P,$A:$A,A43,$G:$G,G43)</f>
        <v/>
      </c>
      <c r="R43" s="5" t="n"/>
      <c r="S43" s="5" t="n"/>
      <c r="T43" s="5" t="n">
        <v>0.4375</v>
      </c>
      <c r="U43" s="5" t="n">
        <v>0.4583333333333333</v>
      </c>
      <c r="V43" s="3">
        <f>IF(COUNT(T43:U43)=2,ROUND((U43-T43)*1440,0),0)</f>
        <v/>
      </c>
    </row>
    <row r="44">
      <c r="A44" s="2" t="inlineStr">
        <is>
          <t>12222222-5</t>
        </is>
      </c>
      <c r="B44" s="3" t="inlineStr">
        <is>
          <t>Activo</t>
        </is>
      </c>
      <c r="C44" s="3" t="inlineStr">
        <is>
          <t>BRUNO SOTO (EJEMPLO)</t>
        </is>
      </c>
      <c r="D44" s="3" t="inlineStr">
        <is>
          <t>EXAMEN Y PROCEDIMIENTOS</t>
        </is>
      </c>
      <c r="E44" s="4" t="n">
        <v>46314</v>
      </c>
      <c r="F44" s="3" t="inlineStr">
        <is>
          <t>Lunes</t>
        </is>
      </c>
      <c r="G44" s="4" t="n">
        <v>46314</v>
      </c>
      <c r="H44" s="3" t="inlineStr">
        <is>
          <t>Intermedio S/sábado</t>
        </is>
      </c>
      <c r="I44" s="3" t="inlineStr">
        <is>
          <t>TRABAJA</t>
        </is>
      </c>
      <c r="J44" s="5" t="n">
        <v>0.375</v>
      </c>
      <c r="K44" s="5" t="n">
        <v>0.7916666666666666</v>
      </c>
      <c r="L44" s="5">
        <f>IF(COUNT(J44:K44)=2,K44-J44,0)</f>
        <v/>
      </c>
      <c r="M44" s="6">
        <f>L44*24</f>
        <v/>
      </c>
      <c r="N44" s="3" t="n">
        <v>60</v>
      </c>
      <c r="O44" s="6">
        <f>N44/60</f>
        <v/>
      </c>
      <c r="P44" s="6">
        <f>M44-O44</f>
        <v/>
      </c>
      <c r="Q44" s="6">
        <f>SUMIFS($P:$P,$A:$A,A44,$G:$G,G44)</f>
        <v/>
      </c>
      <c r="R44" s="5" t="n">
        <v>0.4583333333333333</v>
      </c>
      <c r="S44" s="5" t="n">
        <v>0.7395833333333334</v>
      </c>
      <c r="T44" s="5" t="n">
        <v>0.5729166666666666</v>
      </c>
      <c r="U44" s="5" t="n">
        <v>0.6145833333333334</v>
      </c>
      <c r="V44" s="3">
        <f>IF(COUNT(T44:U44)=2,ROUND((U44-T44)*1440,0),0)</f>
        <v/>
      </c>
    </row>
    <row r="45">
      <c r="A45" s="2" t="inlineStr">
        <is>
          <t>12222222-5</t>
        </is>
      </c>
      <c r="B45" s="3" t="inlineStr">
        <is>
          <t>Activo</t>
        </is>
      </c>
      <c r="C45" s="3" t="inlineStr">
        <is>
          <t>BRUNO SOTO (EJEMPLO)</t>
        </is>
      </c>
      <c r="D45" s="3" t="inlineStr">
        <is>
          <t>EXAMEN Y PROCEDIMIENTOS</t>
        </is>
      </c>
      <c r="E45" s="4" t="n">
        <v>46315</v>
      </c>
      <c r="F45" s="3" t="inlineStr">
        <is>
          <t>Martes</t>
        </is>
      </c>
      <c r="G45" s="4" t="n">
        <v>46314</v>
      </c>
      <c r="H45" s="3" t="inlineStr">
        <is>
          <t>Intermedio S/sábado</t>
        </is>
      </c>
      <c r="I45" s="3" t="inlineStr">
        <is>
          <t>TRABAJA</t>
        </is>
      </c>
      <c r="J45" s="5" t="n">
        <v>0.375</v>
      </c>
      <c r="K45" s="5" t="n">
        <v>0.7916666666666666</v>
      </c>
      <c r="L45" s="5">
        <f>IF(COUNT(J45:K45)=2,K45-J45,0)</f>
        <v/>
      </c>
      <c r="M45" s="6">
        <f>L45*24</f>
        <v/>
      </c>
      <c r="N45" s="3" t="n">
        <v>60</v>
      </c>
      <c r="O45" s="6">
        <f>N45/60</f>
        <v/>
      </c>
      <c r="P45" s="6">
        <f>M45-O45</f>
        <v/>
      </c>
      <c r="Q45" s="6">
        <f>SUMIFS($P:$P,$A:$A,A45,$G:$G,G45)</f>
        <v/>
      </c>
      <c r="R45" s="5" t="n">
        <v>0.4583333333333333</v>
      </c>
      <c r="S45" s="5" t="n">
        <v>0.7395833333333334</v>
      </c>
      <c r="T45" s="5" t="n">
        <v>0.5729166666666666</v>
      </c>
      <c r="U45" s="5" t="n">
        <v>0.6145833333333334</v>
      </c>
      <c r="V45" s="3">
        <f>IF(COUNT(T45:U45)=2,ROUND((U45-T45)*1440,0),0)</f>
        <v/>
      </c>
    </row>
    <row r="46">
      <c r="A46" s="2" t="inlineStr">
        <is>
          <t>12222222-5</t>
        </is>
      </c>
      <c r="B46" s="3" t="inlineStr">
        <is>
          <t>Activo</t>
        </is>
      </c>
      <c r="C46" s="3" t="inlineStr">
        <is>
          <t>BRUNO SOTO (EJEMPLO)</t>
        </is>
      </c>
      <c r="D46" s="3" t="inlineStr">
        <is>
          <t>EXAMEN Y PROCEDIMIENTOS</t>
        </is>
      </c>
      <c r="E46" s="4" t="n">
        <v>46316</v>
      </c>
      <c r="F46" s="3" t="inlineStr">
        <is>
          <t>Miércoles</t>
        </is>
      </c>
      <c r="G46" s="4" t="n">
        <v>46314</v>
      </c>
      <c r="H46" s="3" t="inlineStr">
        <is>
          <t>Intermedio S/sábado</t>
        </is>
      </c>
      <c r="I46" s="3" t="inlineStr">
        <is>
          <t>TRABAJA</t>
        </is>
      </c>
      <c r="J46" s="5" t="n">
        <v>0.375</v>
      </c>
      <c r="K46" s="5" t="n">
        <v>0.75</v>
      </c>
      <c r="L46" s="5">
        <f>IF(COUNT(J46:K46)=2,K46-J46,0)</f>
        <v/>
      </c>
      <c r="M46" s="6">
        <f>L46*24</f>
        <v/>
      </c>
      <c r="N46" s="3" t="n">
        <v>60</v>
      </c>
      <c r="O46" s="6">
        <f>N46/60</f>
        <v/>
      </c>
      <c r="P46" s="6">
        <f>M46-O46</f>
        <v/>
      </c>
      <c r="Q46" s="6">
        <f>SUMIFS($P:$P,$A:$A,A46,$G:$G,G46)</f>
        <v/>
      </c>
      <c r="R46" s="5" t="n">
        <v>0.4583333333333333</v>
      </c>
      <c r="S46" s="5" t="n">
        <v>0.71875</v>
      </c>
      <c r="T46" s="5" t="n">
        <v>0.59375</v>
      </c>
      <c r="U46" s="5" t="n">
        <v>0.6354166666666666</v>
      </c>
      <c r="V46" s="3">
        <f>IF(COUNT(T46:U46)=2,ROUND((U46-T46)*1440,0),0)</f>
        <v/>
      </c>
    </row>
    <row r="47">
      <c r="A47" s="2" t="inlineStr">
        <is>
          <t>12222222-5</t>
        </is>
      </c>
      <c r="B47" s="3" t="inlineStr">
        <is>
          <t>Activo</t>
        </is>
      </c>
      <c r="C47" s="3" t="inlineStr">
        <is>
          <t>BRUNO SOTO (EJEMPLO)</t>
        </is>
      </c>
      <c r="D47" s="3" t="inlineStr">
        <is>
          <t>EXAMEN Y PROCEDIMIENTOS</t>
        </is>
      </c>
      <c r="E47" s="4" t="n">
        <v>46317</v>
      </c>
      <c r="F47" s="3" t="inlineStr">
        <is>
          <t>Jueves</t>
        </is>
      </c>
      <c r="G47" s="4" t="n">
        <v>46314</v>
      </c>
      <c r="H47" s="3" t="inlineStr">
        <is>
          <t>Intermedio S/sábado</t>
        </is>
      </c>
      <c r="I47" s="3" t="inlineStr">
        <is>
          <t>TRABAJA</t>
        </is>
      </c>
      <c r="J47" s="5" t="n">
        <v>0.375</v>
      </c>
      <c r="K47" s="5" t="n">
        <v>0.75</v>
      </c>
      <c r="L47" s="5">
        <f>IF(COUNT(J47:K47)=2,K47-J47,0)</f>
        <v/>
      </c>
      <c r="M47" s="6">
        <f>L47*24</f>
        <v/>
      </c>
      <c r="N47" s="3" t="n">
        <v>60</v>
      </c>
      <c r="O47" s="6">
        <f>N47/60</f>
        <v/>
      </c>
      <c r="P47" s="6">
        <f>M47-O47</f>
        <v/>
      </c>
      <c r="Q47" s="6">
        <f>SUMIFS($P:$P,$A:$A,A47,$G:$G,G47)</f>
        <v/>
      </c>
      <c r="R47" s="5" t="n">
        <v>0.4583333333333333</v>
      </c>
      <c r="S47" s="5" t="n">
        <v>0.6875</v>
      </c>
      <c r="T47" s="5" t="n">
        <v>0.5520833333333334</v>
      </c>
      <c r="U47" s="5" t="n">
        <v>0.59375</v>
      </c>
      <c r="V47" s="3">
        <f>IF(COUNT(T47:U47)=2,ROUND((U47-T47)*1440,0),0)</f>
        <v/>
      </c>
    </row>
    <row r="48">
      <c r="A48" s="2" t="inlineStr">
        <is>
          <t>12222222-5</t>
        </is>
      </c>
      <c r="B48" s="3" t="inlineStr">
        <is>
          <t>Activo</t>
        </is>
      </c>
      <c r="C48" s="3" t="inlineStr">
        <is>
          <t>BRUNO SOTO (EJEMPLO)</t>
        </is>
      </c>
      <c r="D48" s="3" t="inlineStr">
        <is>
          <t>EXAMEN Y PROCEDIMIENTOS</t>
        </is>
      </c>
      <c r="E48" s="4" t="n">
        <v>46318</v>
      </c>
      <c r="F48" s="3" t="inlineStr">
        <is>
          <t>Viernes</t>
        </is>
      </c>
      <c r="G48" s="4" t="n">
        <v>46314</v>
      </c>
      <c r="H48" s="3" t="inlineStr">
        <is>
          <t>Intermedio S/sábado</t>
        </is>
      </c>
      <c r="I48" s="3" t="inlineStr">
        <is>
          <t>TRABAJA</t>
        </is>
      </c>
      <c r="J48" s="5" t="n">
        <v>0.375</v>
      </c>
      <c r="K48" s="5" t="n">
        <v>0.75</v>
      </c>
      <c r="L48" s="5">
        <f>IF(COUNT(J48:K48)=2,K48-J48,0)</f>
        <v/>
      </c>
      <c r="M48" s="6">
        <f>L48*24</f>
        <v/>
      </c>
      <c r="N48" s="3" t="n">
        <v>60</v>
      </c>
      <c r="O48" s="6">
        <f>N48/60</f>
        <v/>
      </c>
      <c r="P48" s="6">
        <f>M48-O48</f>
        <v/>
      </c>
      <c r="Q48" s="6">
        <f>SUMIFS($P:$P,$A:$A,A48,$G:$G,G48)</f>
        <v/>
      </c>
      <c r="R48" s="5" t="n">
        <v>0.4583333333333333</v>
      </c>
      <c r="S48" s="5" t="n">
        <v>0.71875</v>
      </c>
      <c r="T48" s="5" t="n">
        <v>0.59375</v>
      </c>
      <c r="U48" s="5" t="n">
        <v>0.6354166666666666</v>
      </c>
      <c r="V48" s="3">
        <f>IF(COUNT(T48:U48)=2,ROUND((U48-T48)*1440,0),0)</f>
        <v/>
      </c>
    </row>
    <row r="49">
      <c r="A49" s="2" t="inlineStr">
        <is>
          <t>12222222-5</t>
        </is>
      </c>
      <c r="B49" s="3" t="inlineStr">
        <is>
          <t>Activo</t>
        </is>
      </c>
      <c r="C49" s="3" t="inlineStr">
        <is>
          <t>BRUNO SOTO (EJEMPLO)</t>
        </is>
      </c>
      <c r="D49" s="3" t="inlineStr">
        <is>
          <t>EXAMEN Y PROCEDIMIENTOS</t>
        </is>
      </c>
      <c r="E49" s="4" t="n">
        <v>46319</v>
      </c>
      <c r="F49" s="3" t="inlineStr">
        <is>
          <t>Sábado</t>
        </is>
      </c>
      <c r="G49" s="4" t="n">
        <v>46314</v>
      </c>
      <c r="H49" s="3" t="inlineStr">
        <is>
          <t>Intermedio S/sábado</t>
        </is>
      </c>
      <c r="I49" s="3" t="inlineStr">
        <is>
          <t>LIBRE</t>
        </is>
      </c>
      <c r="J49" s="5" t="n"/>
      <c r="K49" s="5" t="n"/>
      <c r="L49" s="5">
        <f>IF(COUNT(J49:K49)=2,K49-J49,0)</f>
        <v/>
      </c>
      <c r="M49" s="6">
        <f>L49*24</f>
        <v/>
      </c>
      <c r="N49" s="3" t="n">
        <v>0</v>
      </c>
      <c r="O49" s="6">
        <f>N49/60</f>
        <v/>
      </c>
      <c r="P49" s="6">
        <f>M49-O49</f>
        <v/>
      </c>
      <c r="Q49" s="6">
        <f>SUMIFS($P:$P,$A:$A,A49,$G:$G,G49)</f>
        <v/>
      </c>
      <c r="R49" s="5" t="n"/>
      <c r="S49" s="5" t="n"/>
      <c r="T49" s="5" t="n"/>
      <c r="U49" s="5" t="n"/>
      <c r="V49" s="3">
        <f>IF(COUNT(T49:U49)=2,ROUND((U49-T49)*1440,0),0)</f>
        <v/>
      </c>
    </row>
    <row r="50">
      <c r="A50" s="2" t="inlineStr">
        <is>
          <t>12222222-5</t>
        </is>
      </c>
      <c r="B50" s="3" t="inlineStr">
        <is>
          <t>Activo</t>
        </is>
      </c>
      <c r="C50" s="3" t="inlineStr">
        <is>
          <t>BRUNO SOTO (EJEMPLO)</t>
        </is>
      </c>
      <c r="D50" s="3" t="inlineStr">
        <is>
          <t>EXAMEN Y PROCEDIMIENTOS</t>
        </is>
      </c>
      <c r="E50" s="4" t="n">
        <v>46321</v>
      </c>
      <c r="F50" s="3" t="inlineStr">
        <is>
          <t>Lunes</t>
        </is>
      </c>
      <c r="G50" s="4" t="n">
        <v>46321</v>
      </c>
      <c r="H50" s="3" t="inlineStr">
        <is>
          <t>Intermedio S/sábado</t>
        </is>
      </c>
      <c r="I50" s="3" t="inlineStr">
        <is>
          <t>TRABAJA</t>
        </is>
      </c>
      <c r="J50" s="5" t="n">
        <v>0.375</v>
      </c>
      <c r="K50" s="5" t="n">
        <v>0.7916666666666666</v>
      </c>
      <c r="L50" s="5">
        <f>IF(COUNT(J50:K50)=2,K50-J50,0)</f>
        <v/>
      </c>
      <c r="M50" s="6">
        <f>L50*24</f>
        <v/>
      </c>
      <c r="N50" s="3" t="n">
        <v>60</v>
      </c>
      <c r="O50" s="6">
        <f>N50/60</f>
        <v/>
      </c>
      <c r="P50" s="6">
        <f>M50-O50</f>
        <v/>
      </c>
      <c r="Q50" s="6">
        <f>SUMIFS($P:$P,$A:$A,A50,$G:$G,G50)</f>
        <v/>
      </c>
      <c r="R50" s="5" t="n">
        <v>0.5</v>
      </c>
      <c r="S50" s="5" t="n">
        <v>0.7604166666666666</v>
      </c>
      <c r="T50" s="5" t="n">
        <v>0.6354166666666666</v>
      </c>
      <c r="U50" s="5" t="n">
        <v>0.6770833333333334</v>
      </c>
      <c r="V50" s="3">
        <f>IF(COUNT(T50:U50)=2,ROUND((U50-T50)*1440,0),0)</f>
        <v/>
      </c>
    </row>
    <row r="51">
      <c r="A51" s="2" t="inlineStr">
        <is>
          <t>12222222-5</t>
        </is>
      </c>
      <c r="B51" s="3" t="inlineStr">
        <is>
          <t>Activo</t>
        </is>
      </c>
      <c r="C51" s="3" t="inlineStr">
        <is>
          <t>BRUNO SOTO (EJEMPLO)</t>
        </is>
      </c>
      <c r="D51" s="3" t="inlineStr">
        <is>
          <t>EXAMEN Y PROCEDIMIENTOS</t>
        </is>
      </c>
      <c r="E51" s="4" t="n">
        <v>46322</v>
      </c>
      <c r="F51" s="3" t="inlineStr">
        <is>
          <t>Martes</t>
        </is>
      </c>
      <c r="G51" s="4" t="n">
        <v>46321</v>
      </c>
      <c r="H51" s="3" t="inlineStr">
        <is>
          <t>Intermedio S/sábado</t>
        </is>
      </c>
      <c r="I51" s="3" t="inlineStr">
        <is>
          <t>TRABAJA</t>
        </is>
      </c>
      <c r="J51" s="5" t="n">
        <v>0.375</v>
      </c>
      <c r="K51" s="5" t="n">
        <v>0.7916666666666666</v>
      </c>
      <c r="L51" s="5">
        <f>IF(COUNT(J51:K51)=2,K51-J51,0)</f>
        <v/>
      </c>
      <c r="M51" s="6">
        <f>L51*24</f>
        <v/>
      </c>
      <c r="N51" s="3" t="n">
        <v>60</v>
      </c>
      <c r="O51" s="6">
        <f>N51/60</f>
        <v/>
      </c>
      <c r="P51" s="6">
        <f>M51-O51</f>
        <v/>
      </c>
      <c r="Q51" s="6">
        <f>SUMIFS($P:$P,$A:$A,A51,$G:$G,G51)</f>
        <v/>
      </c>
      <c r="R51" s="5" t="n">
        <v>0.5</v>
      </c>
      <c r="S51" s="5" t="n">
        <v>0.7604166666666666</v>
      </c>
      <c r="T51" s="5" t="n">
        <v>0.6354166666666666</v>
      </c>
      <c r="U51" s="5" t="n">
        <v>0.6770833333333334</v>
      </c>
      <c r="V51" s="3">
        <f>IF(COUNT(T51:U51)=2,ROUND((U51-T51)*1440,0),0)</f>
        <v/>
      </c>
    </row>
    <row r="52">
      <c r="A52" s="2" t="inlineStr">
        <is>
          <t>12222222-5</t>
        </is>
      </c>
      <c r="B52" s="3" t="inlineStr">
        <is>
          <t>Activo</t>
        </is>
      </c>
      <c r="C52" s="3" t="inlineStr">
        <is>
          <t>BRUNO SOTO (EJEMPLO)</t>
        </is>
      </c>
      <c r="D52" s="3" t="inlineStr">
        <is>
          <t>EXAMEN Y PROCEDIMIENTOS</t>
        </is>
      </c>
      <c r="E52" s="4" t="n">
        <v>46323</v>
      </c>
      <c r="F52" s="3" t="inlineStr">
        <is>
          <t>Miércoles</t>
        </is>
      </c>
      <c r="G52" s="4" t="n">
        <v>46321</v>
      </c>
      <c r="H52" s="3" t="inlineStr">
        <is>
          <t>Intermedio S/sábado</t>
        </is>
      </c>
      <c r="I52" s="3" t="inlineStr">
        <is>
          <t>TRABAJA</t>
        </is>
      </c>
      <c r="J52" s="5" t="n">
        <v>0.375</v>
      </c>
      <c r="K52" s="5" t="n">
        <v>0.75</v>
      </c>
      <c r="L52" s="5">
        <f>IF(COUNT(J52:K52)=2,K52-J52,0)</f>
        <v/>
      </c>
      <c r="M52" s="6">
        <f>L52*24</f>
        <v/>
      </c>
      <c r="N52" s="3" t="n">
        <v>60</v>
      </c>
      <c r="O52" s="6">
        <f>N52/60</f>
        <v/>
      </c>
      <c r="P52" s="6">
        <f>M52-O52</f>
        <v/>
      </c>
      <c r="Q52" s="6">
        <f>SUMIFS($P:$P,$A:$A,A52,$G:$G,G52)</f>
        <v/>
      </c>
      <c r="R52" s="5" t="n">
        <v>0.4583333333333333</v>
      </c>
      <c r="S52" s="5" t="n">
        <v>0.7083333333333334</v>
      </c>
      <c r="T52" s="5" t="n">
        <v>0.5520833333333334</v>
      </c>
      <c r="U52" s="5" t="n">
        <v>0.59375</v>
      </c>
      <c r="V52" s="3">
        <f>IF(COUNT(T52:U52)=2,ROUND((U52-T52)*1440,0),0)</f>
        <v/>
      </c>
    </row>
    <row r="53">
      <c r="A53" s="2" t="inlineStr">
        <is>
          <t>12222222-5</t>
        </is>
      </c>
      <c r="B53" s="3" t="inlineStr">
        <is>
          <t>Activo</t>
        </is>
      </c>
      <c r="C53" s="3" t="inlineStr">
        <is>
          <t>BRUNO SOTO (EJEMPLO)</t>
        </is>
      </c>
      <c r="D53" s="3" t="inlineStr">
        <is>
          <t>EXAMEN Y PROCEDIMIENTOS</t>
        </is>
      </c>
      <c r="E53" s="4" t="n">
        <v>46324</v>
      </c>
      <c r="F53" s="3" t="inlineStr">
        <is>
          <t>Jueves</t>
        </is>
      </c>
      <c r="G53" s="4" t="n">
        <v>46321</v>
      </c>
      <c r="H53" s="3" t="inlineStr">
        <is>
          <t>Intermedio S/sábado</t>
        </is>
      </c>
      <c r="I53" s="3" t="inlineStr">
        <is>
          <t>TRABAJA</t>
        </is>
      </c>
      <c r="J53" s="5" t="n">
        <v>0.375</v>
      </c>
      <c r="K53" s="5" t="n">
        <v>0.75</v>
      </c>
      <c r="L53" s="5">
        <f>IF(COUNT(J53:K53)=2,K53-J53,0)</f>
        <v/>
      </c>
      <c r="M53" s="6">
        <f>L53*24</f>
        <v/>
      </c>
      <c r="N53" s="3" t="n">
        <v>60</v>
      </c>
      <c r="O53" s="6">
        <f>N53/60</f>
        <v/>
      </c>
      <c r="P53" s="6">
        <f>M53-O53</f>
        <v/>
      </c>
      <c r="Q53" s="6">
        <f>SUMIFS($P:$P,$A:$A,A53,$G:$G,G53)</f>
        <v/>
      </c>
      <c r="R53" s="5" t="n">
        <v>0.4583333333333333</v>
      </c>
      <c r="S53" s="5" t="n">
        <v>0.71875</v>
      </c>
      <c r="T53" s="5" t="n">
        <v>0.59375</v>
      </c>
      <c r="U53" s="5" t="n">
        <v>0.6354166666666666</v>
      </c>
      <c r="V53" s="3">
        <f>IF(COUNT(T53:U53)=2,ROUND((U53-T53)*1440,0),0)</f>
        <v/>
      </c>
    </row>
    <row r="54">
      <c r="A54" s="2" t="inlineStr">
        <is>
          <t>12222222-5</t>
        </is>
      </c>
      <c r="B54" s="3" t="inlineStr">
        <is>
          <t>Activo</t>
        </is>
      </c>
      <c r="C54" s="3" t="inlineStr">
        <is>
          <t>BRUNO SOTO (EJEMPLO)</t>
        </is>
      </c>
      <c r="D54" s="3" t="inlineStr">
        <is>
          <t>EXAMEN Y PROCEDIMIENTOS</t>
        </is>
      </c>
      <c r="E54" s="4" t="n">
        <v>46325</v>
      </c>
      <c r="F54" s="3" t="inlineStr">
        <is>
          <t>Viernes</t>
        </is>
      </c>
      <c r="G54" s="4" t="n">
        <v>46321</v>
      </c>
      <c r="H54" s="3" t="inlineStr">
        <is>
          <t>Intermedio S/sábado</t>
        </is>
      </c>
      <c r="I54" s="3" t="inlineStr">
        <is>
          <t>TRABAJA</t>
        </is>
      </c>
      <c r="J54" s="5" t="n">
        <v>0.375</v>
      </c>
      <c r="K54" s="5" t="n">
        <v>0.75</v>
      </c>
      <c r="L54" s="5">
        <f>IF(COUNT(J54:K54)=2,K54-J54,0)</f>
        <v/>
      </c>
      <c r="M54" s="6">
        <f>L54*24</f>
        <v/>
      </c>
      <c r="N54" s="3" t="n">
        <v>60</v>
      </c>
      <c r="O54" s="6">
        <f>N54/60</f>
        <v/>
      </c>
      <c r="P54" s="6">
        <f>M54-O54</f>
        <v/>
      </c>
      <c r="Q54" s="6">
        <f>SUMIFS($P:$P,$A:$A,A54,$G:$G,G54)</f>
        <v/>
      </c>
      <c r="R54" s="5" t="n">
        <v>0.4583333333333333</v>
      </c>
      <c r="S54" s="5" t="n">
        <v>0.65625</v>
      </c>
      <c r="T54" s="5" t="n">
        <v>0.5208333333333334</v>
      </c>
      <c r="U54" s="5" t="n">
        <v>0.5625</v>
      </c>
      <c r="V54" s="3">
        <f>IF(COUNT(T54:U54)=2,ROUND((U54-T54)*1440,0),0)</f>
        <v/>
      </c>
    </row>
    <row r="55">
      <c r="A55" s="2" t="inlineStr">
        <is>
          <t>12222222-5</t>
        </is>
      </c>
      <c r="B55" s="3" t="inlineStr">
        <is>
          <t>Activo</t>
        </is>
      </c>
      <c r="C55" s="3" t="inlineStr">
        <is>
          <t>BRUNO SOTO (EJEMPLO)</t>
        </is>
      </c>
      <c r="D55" s="3" t="inlineStr">
        <is>
          <t>EXAMEN Y PROCEDIMIENTOS</t>
        </is>
      </c>
      <c r="E55" s="4" t="n">
        <v>46326</v>
      </c>
      <c r="F55" s="3" t="inlineStr">
        <is>
          <t>Sábado</t>
        </is>
      </c>
      <c r="G55" s="4" t="n">
        <v>46321</v>
      </c>
      <c r="H55" s="3" t="inlineStr">
        <is>
          <t>Intermedio S/sábado</t>
        </is>
      </c>
      <c r="I55" s="3" t="inlineStr">
        <is>
          <t>FERIADO</t>
        </is>
      </c>
      <c r="J55" s="5" t="n"/>
      <c r="K55" s="5" t="n"/>
      <c r="L55" s="5">
        <f>IF(COUNT(J55:K55)=2,K55-J55,0)</f>
        <v/>
      </c>
      <c r="M55" s="6">
        <f>L55*24</f>
        <v/>
      </c>
      <c r="N55" s="3" t="n">
        <v>0</v>
      </c>
      <c r="O55" s="6">
        <f>N55/60</f>
        <v/>
      </c>
      <c r="P55" s="6">
        <f>M55-O55</f>
        <v/>
      </c>
      <c r="Q55" s="6">
        <f>SUMIFS($P:$P,$A:$A,A55,$G:$G,G55)</f>
        <v/>
      </c>
      <c r="R55" s="5" t="n"/>
      <c r="S55" s="5" t="n"/>
      <c r="T55" s="5" t="n"/>
      <c r="U55" s="5" t="n"/>
      <c r="V55" s="3">
        <f>IF(COUNT(T55:U55)=2,ROUND((U55-T55)*1440,0),0)</f>
        <v/>
      </c>
    </row>
    <row r="56">
      <c r="A56" s="2" t="inlineStr">
        <is>
          <t>13333333-9</t>
        </is>
      </c>
      <c r="B56" s="3" t="inlineStr">
        <is>
          <t>Activo</t>
        </is>
      </c>
      <c r="C56" s="3" t="inlineStr">
        <is>
          <t>CARLA DÍAZ (EJEMPLO)</t>
        </is>
      </c>
      <c r="D56" s="3" t="inlineStr">
        <is>
          <t>EXAMEN Y PROCEDIMIENTOS</t>
        </is>
      </c>
      <c r="E56" s="4" t="n">
        <v>46296</v>
      </c>
      <c r="F56" s="3" t="inlineStr">
        <is>
          <t>Jueves</t>
        </is>
      </c>
      <c r="G56" s="4" t="n">
        <v>46293</v>
      </c>
      <c r="H56" s="3" t="inlineStr">
        <is>
          <t>Tarde S/sábado</t>
        </is>
      </c>
      <c r="I56" s="3" t="inlineStr">
        <is>
          <t>TRABAJA</t>
        </is>
      </c>
      <c r="J56" s="5" t="n">
        <v>0.4375</v>
      </c>
      <c r="K56" s="5" t="n">
        <v>0.8333333333333334</v>
      </c>
      <c r="L56" s="5">
        <f>IF(COUNT(J56:K56)=2,K56-J56,0)</f>
        <v/>
      </c>
      <c r="M56" s="6">
        <f>L56*24</f>
        <v/>
      </c>
      <c r="N56" s="3" t="n">
        <v>60</v>
      </c>
      <c r="O56" s="6">
        <f>N56/60</f>
        <v/>
      </c>
      <c r="P56" s="6">
        <f>M56-O56</f>
        <v/>
      </c>
      <c r="Q56" s="6">
        <f>SUMIFS($P:$P,$A:$A,A56,$G:$G,G56)</f>
        <v/>
      </c>
      <c r="R56" s="5" t="n">
        <v>0.5416666666666666</v>
      </c>
      <c r="S56" s="5" t="n">
        <v>0.8020833333333334</v>
      </c>
      <c r="T56" s="5" t="n">
        <v>0.6770833333333334</v>
      </c>
      <c r="U56" s="5" t="n">
        <v>0.71875</v>
      </c>
      <c r="V56" s="3">
        <f>IF(COUNT(T56:U56)=2,ROUND((U56-T56)*1440,0),0)</f>
        <v/>
      </c>
    </row>
    <row r="57">
      <c r="A57" s="2" t="inlineStr">
        <is>
          <t>13333333-9</t>
        </is>
      </c>
      <c r="B57" s="3" t="inlineStr">
        <is>
          <t>Activo</t>
        </is>
      </c>
      <c r="C57" s="3" t="inlineStr">
        <is>
          <t>CARLA DÍAZ (EJEMPLO)</t>
        </is>
      </c>
      <c r="D57" s="3" t="inlineStr">
        <is>
          <t>EXAMEN Y PROCEDIMIENTOS</t>
        </is>
      </c>
      <c r="E57" s="4" t="n">
        <v>46297</v>
      </c>
      <c r="F57" s="3" t="inlineStr">
        <is>
          <t>Viernes</t>
        </is>
      </c>
      <c r="G57" s="4" t="n">
        <v>46293</v>
      </c>
      <c r="H57" s="3" t="inlineStr">
        <is>
          <t>Tarde S/sábado</t>
        </is>
      </c>
      <c r="I57" s="3" t="inlineStr">
        <is>
          <t>TRABAJA</t>
        </is>
      </c>
      <c r="J57" s="5" t="n">
        <v>0.4583333333333333</v>
      </c>
      <c r="K57" s="5" t="n">
        <v>0.8333333333333334</v>
      </c>
      <c r="L57" s="5">
        <f>IF(COUNT(J57:K57)=2,K57-J57,0)</f>
        <v/>
      </c>
      <c r="M57" s="6">
        <f>L57*24</f>
        <v/>
      </c>
      <c r="N57" s="3" t="n">
        <v>60</v>
      </c>
      <c r="O57" s="6">
        <f>N57/60</f>
        <v/>
      </c>
      <c r="P57" s="6">
        <f>M57-O57</f>
        <v/>
      </c>
      <c r="Q57" s="6">
        <f>SUMIFS($P:$P,$A:$A,A57,$G:$G,G57)</f>
        <v/>
      </c>
      <c r="R57" s="5" t="n">
        <v>0.5729166666666666</v>
      </c>
      <c r="S57" s="5" t="n">
        <v>0.8020833333333334</v>
      </c>
      <c r="T57" s="5" t="n">
        <v>0.6770833333333334</v>
      </c>
      <c r="U57" s="5" t="n">
        <v>0.71875</v>
      </c>
      <c r="V57" s="3">
        <f>IF(COUNT(T57:U57)=2,ROUND((U57-T57)*1440,0),0)</f>
        <v/>
      </c>
    </row>
    <row r="58">
      <c r="A58" s="2" t="inlineStr">
        <is>
          <t>13333333-9</t>
        </is>
      </c>
      <c r="B58" s="3" t="inlineStr">
        <is>
          <t>Activo</t>
        </is>
      </c>
      <c r="C58" s="3" t="inlineStr">
        <is>
          <t>CARLA DÍAZ (EJEMPLO)</t>
        </is>
      </c>
      <c r="D58" s="3" t="inlineStr">
        <is>
          <t>EXAMEN Y PROCEDIMIENTOS</t>
        </is>
      </c>
      <c r="E58" s="4" t="n">
        <v>46298</v>
      </c>
      <c r="F58" s="3" t="inlineStr">
        <is>
          <t>Sábado</t>
        </is>
      </c>
      <c r="G58" s="4" t="n">
        <v>46293</v>
      </c>
      <c r="H58" s="3" t="inlineStr">
        <is>
          <t>Tarde S/sábado</t>
        </is>
      </c>
      <c r="I58" s="3" t="inlineStr">
        <is>
          <t>LIBRE</t>
        </is>
      </c>
      <c r="J58" s="5" t="n"/>
      <c r="K58" s="5" t="n"/>
      <c r="L58" s="5">
        <f>IF(COUNT(J58:K58)=2,K58-J58,0)</f>
        <v/>
      </c>
      <c r="M58" s="6">
        <f>L58*24</f>
        <v/>
      </c>
      <c r="N58" s="3" t="n">
        <v>0</v>
      </c>
      <c r="O58" s="6">
        <f>N58/60</f>
        <v/>
      </c>
      <c r="P58" s="6">
        <f>M58-O58</f>
        <v/>
      </c>
      <c r="Q58" s="6">
        <f>SUMIFS($P:$P,$A:$A,A58,$G:$G,G58)</f>
        <v/>
      </c>
      <c r="R58" s="5" t="n"/>
      <c r="S58" s="5" t="n"/>
      <c r="T58" s="5" t="n"/>
      <c r="U58" s="5" t="n"/>
      <c r="V58" s="3">
        <f>IF(COUNT(T58:U58)=2,ROUND((U58-T58)*1440,0),0)</f>
        <v/>
      </c>
    </row>
    <row r="59">
      <c r="A59" s="2" t="inlineStr">
        <is>
          <t>13333333-9</t>
        </is>
      </c>
      <c r="B59" s="3" t="inlineStr">
        <is>
          <t>Activo</t>
        </is>
      </c>
      <c r="C59" s="3" t="inlineStr">
        <is>
          <t>CARLA DÍAZ (EJEMPLO)</t>
        </is>
      </c>
      <c r="D59" s="3" t="inlineStr">
        <is>
          <t>EXAMEN Y PROCEDIMIENTOS</t>
        </is>
      </c>
      <c r="E59" s="4" t="n">
        <v>46300</v>
      </c>
      <c r="F59" s="3" t="inlineStr">
        <is>
          <t>Lunes</t>
        </is>
      </c>
      <c r="G59" s="4" t="n">
        <v>46300</v>
      </c>
      <c r="H59" s="3" t="inlineStr">
        <is>
          <t>Mañana C/sábado</t>
        </is>
      </c>
      <c r="I59" s="3" t="inlineStr">
        <is>
          <t>TRABAJA</t>
        </is>
      </c>
      <c r="J59" s="5" t="n">
        <v>0.3333333333333333</v>
      </c>
      <c r="K59" s="5" t="n">
        <v>0.6875</v>
      </c>
      <c r="L59" s="5">
        <f>IF(COUNT(J59:K59)=2,K59-J59,0)</f>
        <v/>
      </c>
      <c r="M59" s="6">
        <f>L59*24</f>
        <v/>
      </c>
      <c r="N59" s="3" t="n">
        <v>60</v>
      </c>
      <c r="O59" s="6">
        <f>N59/60</f>
        <v/>
      </c>
      <c r="P59" s="6">
        <f>M59-O59</f>
        <v/>
      </c>
      <c r="Q59" s="6">
        <f>SUMIFS($P:$P,$A:$A,A59,$G:$G,G59)</f>
        <v/>
      </c>
      <c r="R59" s="5" t="n">
        <v>0.4166666666666667</v>
      </c>
      <c r="S59" s="5" t="n">
        <v>0.59375</v>
      </c>
      <c r="T59" s="5" t="n">
        <v>0.46875</v>
      </c>
      <c r="U59" s="5" t="n">
        <v>0.5104166666666666</v>
      </c>
      <c r="V59" s="3">
        <f>IF(COUNT(T59:U59)=2,ROUND((U59-T59)*1440,0),0)</f>
        <v/>
      </c>
    </row>
    <row r="60">
      <c r="A60" s="2" t="inlineStr">
        <is>
          <t>13333333-9</t>
        </is>
      </c>
      <c r="B60" s="3" t="inlineStr">
        <is>
          <t>Activo</t>
        </is>
      </c>
      <c r="C60" s="3" t="inlineStr">
        <is>
          <t>CARLA DÍAZ (EJEMPLO)</t>
        </is>
      </c>
      <c r="D60" s="3" t="inlineStr">
        <is>
          <t>EXAMEN Y PROCEDIMIENTOS</t>
        </is>
      </c>
      <c r="E60" s="4" t="n">
        <v>46301</v>
      </c>
      <c r="F60" s="3" t="inlineStr">
        <is>
          <t>Martes</t>
        </is>
      </c>
      <c r="G60" s="4" t="n">
        <v>46300</v>
      </c>
      <c r="H60" s="3" t="inlineStr">
        <is>
          <t>Mañana C/sábado</t>
        </is>
      </c>
      <c r="I60" s="3" t="inlineStr">
        <is>
          <t>TRABAJA</t>
        </is>
      </c>
      <c r="J60" s="5" t="n">
        <v>0.3333333333333333</v>
      </c>
      <c r="K60" s="5" t="n">
        <v>0.6875</v>
      </c>
      <c r="L60" s="5">
        <f>IF(COUNT(J60:K60)=2,K60-J60,0)</f>
        <v/>
      </c>
      <c r="M60" s="6">
        <f>L60*24</f>
        <v/>
      </c>
      <c r="N60" s="3" t="n">
        <v>60</v>
      </c>
      <c r="O60" s="6">
        <f>N60/60</f>
        <v/>
      </c>
      <c r="P60" s="6">
        <f>M60-O60</f>
        <v/>
      </c>
      <c r="Q60" s="6">
        <f>SUMIFS($P:$P,$A:$A,A60,$G:$G,G60)</f>
        <v/>
      </c>
      <c r="R60" s="5" t="n">
        <v>0.4166666666666667</v>
      </c>
      <c r="S60" s="5" t="n">
        <v>0.59375</v>
      </c>
      <c r="T60" s="5" t="n">
        <v>0.46875</v>
      </c>
      <c r="U60" s="5" t="n">
        <v>0.5104166666666666</v>
      </c>
      <c r="V60" s="3">
        <f>IF(COUNT(T60:U60)=2,ROUND((U60-T60)*1440,0),0)</f>
        <v/>
      </c>
    </row>
    <row r="61">
      <c r="A61" s="2" t="inlineStr">
        <is>
          <t>13333333-9</t>
        </is>
      </c>
      <c r="B61" s="3" t="inlineStr">
        <is>
          <t>Activo</t>
        </is>
      </c>
      <c r="C61" s="3" t="inlineStr">
        <is>
          <t>CARLA DÍAZ (EJEMPLO)</t>
        </is>
      </c>
      <c r="D61" s="3" t="inlineStr">
        <is>
          <t>EXAMEN Y PROCEDIMIENTOS</t>
        </is>
      </c>
      <c r="E61" s="4" t="n">
        <v>46302</v>
      </c>
      <c r="F61" s="3" t="inlineStr">
        <is>
          <t>Miércoles</t>
        </is>
      </c>
      <c r="G61" s="4" t="n">
        <v>46300</v>
      </c>
      <c r="H61" s="3" t="inlineStr">
        <is>
          <t>Mañana C/sábado</t>
        </is>
      </c>
      <c r="I61" s="3" t="inlineStr">
        <is>
          <t>TRABAJA</t>
        </is>
      </c>
      <c r="J61" s="5" t="n">
        <v>0.3333333333333333</v>
      </c>
      <c r="K61" s="5" t="n">
        <v>0.6875</v>
      </c>
      <c r="L61" s="5">
        <f>IF(COUNT(J61:K61)=2,K61-J61,0)</f>
        <v/>
      </c>
      <c r="M61" s="6">
        <f>L61*24</f>
        <v/>
      </c>
      <c r="N61" s="3" t="n">
        <v>60</v>
      </c>
      <c r="O61" s="6">
        <f>N61/60</f>
        <v/>
      </c>
      <c r="P61" s="6">
        <f>M61-O61</f>
        <v/>
      </c>
      <c r="Q61" s="6">
        <f>SUMIFS($P:$P,$A:$A,A61,$G:$G,G61)</f>
        <v/>
      </c>
      <c r="R61" s="5" t="n">
        <v>0.4166666666666667</v>
      </c>
      <c r="S61" s="5" t="n">
        <v>0.625</v>
      </c>
      <c r="T61" s="5" t="n">
        <v>0.46875</v>
      </c>
      <c r="U61" s="5" t="n">
        <v>0.5104166666666666</v>
      </c>
      <c r="V61" s="3">
        <f>IF(COUNT(T61:U61)=2,ROUND((U61-T61)*1440,0),0)</f>
        <v/>
      </c>
    </row>
    <row r="62">
      <c r="A62" s="2" t="inlineStr">
        <is>
          <t>13333333-9</t>
        </is>
      </c>
      <c r="B62" s="3" t="inlineStr">
        <is>
          <t>Activo</t>
        </is>
      </c>
      <c r="C62" s="3" t="inlineStr">
        <is>
          <t>CARLA DÍAZ (EJEMPLO)</t>
        </is>
      </c>
      <c r="D62" s="3" t="inlineStr">
        <is>
          <t>EXAMEN Y PROCEDIMIENTOS</t>
        </is>
      </c>
      <c r="E62" s="4" t="n">
        <v>46303</v>
      </c>
      <c r="F62" s="3" t="inlineStr">
        <is>
          <t>Jueves</t>
        </is>
      </c>
      <c r="G62" s="4" t="n">
        <v>46300</v>
      </c>
      <c r="H62" s="3" t="inlineStr">
        <is>
          <t>Mañana C/sábado</t>
        </is>
      </c>
      <c r="I62" s="3" t="inlineStr">
        <is>
          <t>TRABAJA</t>
        </is>
      </c>
      <c r="J62" s="5" t="n">
        <v>0.3333333333333333</v>
      </c>
      <c r="K62" s="5" t="n">
        <v>0.6666666666666666</v>
      </c>
      <c r="L62" s="5">
        <f>IF(COUNT(J62:K62)=2,K62-J62,0)</f>
        <v/>
      </c>
      <c r="M62" s="6">
        <f>L62*24</f>
        <v/>
      </c>
      <c r="N62" s="3" t="n">
        <v>60</v>
      </c>
      <c r="O62" s="6">
        <f>N62/60</f>
        <v/>
      </c>
      <c r="P62" s="6">
        <f>M62-O62</f>
        <v/>
      </c>
      <c r="Q62" s="6">
        <f>SUMIFS($P:$P,$A:$A,A62,$G:$G,G62)</f>
        <v/>
      </c>
      <c r="R62" s="5" t="n">
        <v>0.4166666666666667</v>
      </c>
      <c r="S62" s="5" t="n">
        <v>0.625</v>
      </c>
      <c r="T62" s="5" t="n">
        <v>0.46875</v>
      </c>
      <c r="U62" s="5" t="n">
        <v>0.5104166666666666</v>
      </c>
      <c r="V62" s="3">
        <f>IF(COUNT(T62:U62)=2,ROUND((U62-T62)*1440,0),0)</f>
        <v/>
      </c>
    </row>
    <row r="63">
      <c r="A63" s="2" t="inlineStr">
        <is>
          <t>13333333-9</t>
        </is>
      </c>
      <c r="B63" s="3" t="inlineStr">
        <is>
          <t>Activo</t>
        </is>
      </c>
      <c r="C63" s="3" t="inlineStr">
        <is>
          <t>CARLA DÍAZ (EJEMPLO)</t>
        </is>
      </c>
      <c r="D63" s="3" t="inlineStr">
        <is>
          <t>EXAMEN Y PROCEDIMIENTOS</t>
        </is>
      </c>
      <c r="E63" s="4" t="n">
        <v>46304</v>
      </c>
      <c r="F63" s="3" t="inlineStr">
        <is>
          <t>Viernes</t>
        </is>
      </c>
      <c r="G63" s="4" t="n">
        <v>46300</v>
      </c>
      <c r="H63" s="3" t="inlineStr">
        <is>
          <t>Mañana C/sábado</t>
        </is>
      </c>
      <c r="I63" s="3" t="inlineStr">
        <is>
          <t>TRABAJA</t>
        </is>
      </c>
      <c r="J63" s="5" t="n">
        <v>0.3333333333333333</v>
      </c>
      <c r="K63" s="5" t="n">
        <v>0.6666666666666666</v>
      </c>
      <c r="L63" s="5">
        <f>IF(COUNT(J63:K63)=2,K63-J63,0)</f>
        <v/>
      </c>
      <c r="M63" s="6">
        <f>L63*24</f>
        <v/>
      </c>
      <c r="N63" s="3" t="n">
        <v>60</v>
      </c>
      <c r="O63" s="6">
        <f>N63/60</f>
        <v/>
      </c>
      <c r="P63" s="6">
        <f>M63-O63</f>
        <v/>
      </c>
      <c r="Q63" s="6">
        <f>SUMIFS($P:$P,$A:$A,A63,$G:$G,G63)</f>
        <v/>
      </c>
      <c r="R63" s="5" t="n">
        <v>0.4166666666666667</v>
      </c>
      <c r="S63" s="5" t="n">
        <v>0.6145833333333334</v>
      </c>
      <c r="T63" s="5" t="n">
        <v>0.46875</v>
      </c>
      <c r="U63" s="5" t="n">
        <v>0.5104166666666666</v>
      </c>
      <c r="V63" s="3">
        <f>IF(COUNT(T63:U63)=2,ROUND((U63-T63)*1440,0),0)</f>
        <v/>
      </c>
    </row>
    <row r="64">
      <c r="A64" s="2" t="inlineStr">
        <is>
          <t>13333333-9</t>
        </is>
      </c>
      <c r="B64" s="3" t="inlineStr">
        <is>
          <t>Activo</t>
        </is>
      </c>
      <c r="C64" s="3" t="inlineStr">
        <is>
          <t>CARLA DÍAZ (EJEMPLO)</t>
        </is>
      </c>
      <c r="D64" s="3" t="inlineStr">
        <is>
          <t>EXAMEN Y PROCEDIMIENTOS</t>
        </is>
      </c>
      <c r="E64" s="4" t="n">
        <v>46305</v>
      </c>
      <c r="F64" s="3" t="inlineStr">
        <is>
          <t>Sábado</t>
        </is>
      </c>
      <c r="G64" s="4" t="n">
        <v>46300</v>
      </c>
      <c r="H64" s="3" t="inlineStr">
        <is>
          <t>Mañana C/sábado</t>
        </is>
      </c>
      <c r="I64" s="3" t="inlineStr">
        <is>
          <t>TRABAJA</t>
        </is>
      </c>
      <c r="J64" s="5" t="n">
        <v>0.3333333333333333</v>
      </c>
      <c r="K64" s="5" t="n">
        <v>0.5833333333333334</v>
      </c>
      <c r="L64" s="5">
        <f>IF(COUNT(J64:K64)=2,K64-J64,0)</f>
        <v/>
      </c>
      <c r="M64" s="6">
        <f>L64*24</f>
        <v/>
      </c>
      <c r="N64" s="3" t="n">
        <v>30</v>
      </c>
      <c r="O64" s="6">
        <f>N64/60</f>
        <v/>
      </c>
      <c r="P64" s="6">
        <f>M64-O64</f>
        <v/>
      </c>
      <c r="Q64" s="6">
        <f>SUMIFS($P:$P,$A:$A,A64,$G:$G,G64)</f>
        <v/>
      </c>
      <c r="R64" s="5" t="n"/>
      <c r="S64" s="5" t="n"/>
      <c r="T64" s="5" t="n">
        <v>0.4375</v>
      </c>
      <c r="U64" s="5" t="n">
        <v>0.4583333333333333</v>
      </c>
      <c r="V64" s="3">
        <f>IF(COUNT(T64:U64)=2,ROUND((U64-T64)*1440,0),0)</f>
        <v/>
      </c>
    </row>
    <row r="65">
      <c r="A65" s="2" t="inlineStr">
        <is>
          <t>13333333-9</t>
        </is>
      </c>
      <c r="B65" s="3" t="inlineStr">
        <is>
          <t>Activo</t>
        </is>
      </c>
      <c r="C65" s="3" t="inlineStr">
        <is>
          <t>CARLA DÍAZ (EJEMPLO)</t>
        </is>
      </c>
      <c r="D65" s="3" t="inlineStr">
        <is>
          <t>EXAMEN Y PROCEDIMIENTOS</t>
        </is>
      </c>
      <c r="E65" s="4" t="n">
        <v>46307</v>
      </c>
      <c r="F65" s="3" t="inlineStr">
        <is>
          <t>Lunes</t>
        </is>
      </c>
      <c r="G65" s="4" t="n">
        <v>46307</v>
      </c>
      <c r="H65" s="3" t="inlineStr">
        <is>
          <t>Intermedio S/sábado</t>
        </is>
      </c>
      <c r="I65" s="3" t="inlineStr">
        <is>
          <t>FERIADO</t>
        </is>
      </c>
      <c r="J65" s="5" t="n"/>
      <c r="K65" s="5" t="n"/>
      <c r="L65" s="5">
        <f>IF(COUNT(J65:K65)=2,K65-J65,0)</f>
        <v/>
      </c>
      <c r="M65" s="6">
        <f>L65*24</f>
        <v/>
      </c>
      <c r="N65" s="3" t="n">
        <v>0</v>
      </c>
      <c r="O65" s="6">
        <f>N65/60</f>
        <v/>
      </c>
      <c r="P65" s="6">
        <f>M65-O65</f>
        <v/>
      </c>
      <c r="Q65" s="6">
        <f>SUMIFS($P:$P,$A:$A,A65,$G:$G,G65)</f>
        <v/>
      </c>
      <c r="R65" s="5" t="n"/>
      <c r="S65" s="5" t="n"/>
      <c r="T65" s="5" t="n"/>
      <c r="U65" s="5" t="n"/>
      <c r="V65" s="3">
        <f>IF(COUNT(T65:U65)=2,ROUND((U65-T65)*1440,0),0)</f>
        <v/>
      </c>
    </row>
    <row r="66">
      <c r="A66" s="2" t="inlineStr">
        <is>
          <t>13333333-9</t>
        </is>
      </c>
      <c r="B66" s="3" t="inlineStr">
        <is>
          <t>Activo</t>
        </is>
      </c>
      <c r="C66" s="3" t="inlineStr">
        <is>
          <t>CARLA DÍAZ (EJEMPLO)</t>
        </is>
      </c>
      <c r="D66" s="3" t="inlineStr">
        <is>
          <t>EXAMEN Y PROCEDIMIENTOS</t>
        </is>
      </c>
      <c r="E66" s="4" t="n">
        <v>46308</v>
      </c>
      <c r="F66" s="3" t="inlineStr">
        <is>
          <t>Martes</t>
        </is>
      </c>
      <c r="G66" s="4" t="n">
        <v>46307</v>
      </c>
      <c r="H66" s="3" t="inlineStr">
        <is>
          <t>Intermedio S/sábado</t>
        </is>
      </c>
      <c r="I66" s="3" t="inlineStr">
        <is>
          <t>TRABAJA</t>
        </is>
      </c>
      <c r="J66" s="5" t="n">
        <v>0.375</v>
      </c>
      <c r="K66" s="5" t="n">
        <v>0.7916666666666666</v>
      </c>
      <c r="L66" s="5">
        <f>IF(COUNT(J66:K66)=2,K66-J66,0)</f>
        <v/>
      </c>
      <c r="M66" s="6">
        <f>L66*24</f>
        <v/>
      </c>
      <c r="N66" s="3" t="n">
        <v>60</v>
      </c>
      <c r="O66" s="6">
        <f>N66/60</f>
        <v/>
      </c>
      <c r="P66" s="6">
        <f>M66-O66</f>
        <v/>
      </c>
      <c r="Q66" s="6">
        <f>SUMIFS($P:$P,$A:$A,A66,$G:$G,G66)</f>
        <v/>
      </c>
      <c r="R66" s="5" t="n">
        <v>0.4583333333333333</v>
      </c>
      <c r="S66" s="5" t="n">
        <v>0.7083333333333334</v>
      </c>
      <c r="T66" s="5" t="n">
        <v>0.5520833333333334</v>
      </c>
      <c r="U66" s="5" t="n">
        <v>0.59375</v>
      </c>
      <c r="V66" s="3">
        <f>IF(COUNT(T66:U66)=2,ROUND((U66-T66)*1440,0),0)</f>
        <v/>
      </c>
    </row>
    <row r="67">
      <c r="A67" s="2" t="inlineStr">
        <is>
          <t>13333333-9</t>
        </is>
      </c>
      <c r="B67" s="3" t="inlineStr">
        <is>
          <t>Activo</t>
        </is>
      </c>
      <c r="C67" s="3" t="inlineStr">
        <is>
          <t>CARLA DÍAZ (EJEMPLO)</t>
        </is>
      </c>
      <c r="D67" s="3" t="inlineStr">
        <is>
          <t>EXAMEN Y PROCEDIMIENTOS</t>
        </is>
      </c>
      <c r="E67" s="4" t="n">
        <v>46309</v>
      </c>
      <c r="F67" s="3" t="inlineStr">
        <is>
          <t>Miércoles</t>
        </is>
      </c>
      <c r="G67" s="4" t="n">
        <v>46307</v>
      </c>
      <c r="H67" s="3" t="inlineStr">
        <is>
          <t>Intermedio S/sábado</t>
        </is>
      </c>
      <c r="I67" s="3" t="inlineStr">
        <is>
          <t>TRABAJA</t>
        </is>
      </c>
      <c r="J67" s="5" t="n">
        <v>0.375</v>
      </c>
      <c r="K67" s="5" t="n">
        <v>0.75</v>
      </c>
      <c r="L67" s="5">
        <f>IF(COUNT(J67:K67)=2,K67-J67,0)</f>
        <v/>
      </c>
      <c r="M67" s="6">
        <f>L67*24</f>
        <v/>
      </c>
      <c r="N67" s="3" t="n">
        <v>60</v>
      </c>
      <c r="O67" s="6">
        <f>N67/60</f>
        <v/>
      </c>
      <c r="P67" s="6">
        <f>M67-O67</f>
        <v/>
      </c>
      <c r="Q67" s="6">
        <f>SUMIFS($P:$P,$A:$A,A67,$G:$G,G67)</f>
        <v/>
      </c>
      <c r="R67" s="5" t="n">
        <v>0.4583333333333333</v>
      </c>
      <c r="S67" s="5" t="n">
        <v>0.71875</v>
      </c>
      <c r="T67" s="5" t="n">
        <v>0.59375</v>
      </c>
      <c r="U67" s="5" t="n">
        <v>0.6354166666666666</v>
      </c>
      <c r="V67" s="3">
        <f>IF(COUNT(T67:U67)=2,ROUND((U67-T67)*1440,0),0)</f>
        <v/>
      </c>
    </row>
    <row r="68">
      <c r="A68" s="2" t="inlineStr">
        <is>
          <t>13333333-9</t>
        </is>
      </c>
      <c r="B68" s="3" t="inlineStr">
        <is>
          <t>Activo</t>
        </is>
      </c>
      <c r="C68" s="3" t="inlineStr">
        <is>
          <t>CARLA DÍAZ (EJEMPLO)</t>
        </is>
      </c>
      <c r="D68" s="3" t="inlineStr">
        <is>
          <t>EXAMEN Y PROCEDIMIENTOS</t>
        </is>
      </c>
      <c r="E68" s="4" t="n">
        <v>46310</v>
      </c>
      <c r="F68" s="3" t="inlineStr">
        <is>
          <t>Jueves</t>
        </is>
      </c>
      <c r="G68" s="4" t="n">
        <v>46307</v>
      </c>
      <c r="H68" s="3" t="inlineStr">
        <is>
          <t>Intermedio S/sábado</t>
        </is>
      </c>
      <c r="I68" s="3" t="inlineStr">
        <is>
          <t>TRABAJA</t>
        </is>
      </c>
      <c r="J68" s="5" t="n">
        <v>0.375</v>
      </c>
      <c r="K68" s="5" t="n">
        <v>0.75</v>
      </c>
      <c r="L68" s="5">
        <f>IF(COUNT(J68:K68)=2,K68-J68,0)</f>
        <v/>
      </c>
      <c r="M68" s="6">
        <f>L68*24</f>
        <v/>
      </c>
      <c r="N68" s="3" t="n">
        <v>60</v>
      </c>
      <c r="O68" s="6">
        <f>N68/60</f>
        <v/>
      </c>
      <c r="P68" s="6">
        <f>M68-O68</f>
        <v/>
      </c>
      <c r="Q68" s="6">
        <f>SUMIFS($P:$P,$A:$A,A68,$G:$G,G68)</f>
        <v/>
      </c>
      <c r="R68" s="5" t="n">
        <v>0.4583333333333333</v>
      </c>
      <c r="S68" s="5" t="n">
        <v>0.6666666666666666</v>
      </c>
      <c r="T68" s="5" t="n">
        <v>0.5416666666666666</v>
      </c>
      <c r="U68" s="5" t="n">
        <v>0.5833333333333334</v>
      </c>
      <c r="V68" s="3">
        <f>IF(COUNT(T68:U68)=2,ROUND((U68-T68)*1440,0),0)</f>
        <v/>
      </c>
    </row>
    <row r="69">
      <c r="A69" s="2" t="inlineStr">
        <is>
          <t>13333333-9</t>
        </is>
      </c>
      <c r="B69" s="3" t="inlineStr">
        <is>
          <t>Activo</t>
        </is>
      </c>
      <c r="C69" s="3" t="inlineStr">
        <is>
          <t>CARLA DÍAZ (EJEMPLO)</t>
        </is>
      </c>
      <c r="D69" s="3" t="inlineStr">
        <is>
          <t>EXAMEN Y PROCEDIMIENTOS</t>
        </is>
      </c>
      <c r="E69" s="4" t="n">
        <v>46311</v>
      </c>
      <c r="F69" s="3" t="inlineStr">
        <is>
          <t>Viernes</t>
        </is>
      </c>
      <c r="G69" s="4" t="n">
        <v>46307</v>
      </c>
      <c r="H69" s="3" t="inlineStr">
        <is>
          <t>Intermedio S/sábado</t>
        </is>
      </c>
      <c r="I69" s="3" t="inlineStr">
        <is>
          <t>TRABAJA</t>
        </is>
      </c>
      <c r="J69" s="5" t="n">
        <v>0.375</v>
      </c>
      <c r="K69" s="5" t="n">
        <v>0.75</v>
      </c>
      <c r="L69" s="5">
        <f>IF(COUNT(J69:K69)=2,K69-J69,0)</f>
        <v/>
      </c>
      <c r="M69" s="6">
        <f>L69*24</f>
        <v/>
      </c>
      <c r="N69" s="3" t="n">
        <v>60</v>
      </c>
      <c r="O69" s="6">
        <f>N69/60</f>
        <v/>
      </c>
      <c r="P69" s="6">
        <f>M69-O69</f>
        <v/>
      </c>
      <c r="Q69" s="6">
        <f>SUMIFS($P:$P,$A:$A,A69,$G:$G,G69)</f>
        <v/>
      </c>
      <c r="R69" s="5" t="n">
        <v>0.4583333333333333</v>
      </c>
      <c r="S69" s="5" t="n">
        <v>0.71875</v>
      </c>
      <c r="T69" s="5" t="n">
        <v>0.59375</v>
      </c>
      <c r="U69" s="5" t="n">
        <v>0.6354166666666666</v>
      </c>
      <c r="V69" s="3">
        <f>IF(COUNT(T69:U69)=2,ROUND((U69-T69)*1440,0),0)</f>
        <v/>
      </c>
    </row>
    <row r="70">
      <c r="A70" s="2" t="inlineStr">
        <is>
          <t>13333333-9</t>
        </is>
      </c>
      <c r="B70" s="3" t="inlineStr">
        <is>
          <t>Activo</t>
        </is>
      </c>
      <c r="C70" s="3" t="inlineStr">
        <is>
          <t>CARLA DÍAZ (EJEMPLO)</t>
        </is>
      </c>
      <c r="D70" s="3" t="inlineStr">
        <is>
          <t>EXAMEN Y PROCEDIMIENTOS</t>
        </is>
      </c>
      <c r="E70" s="4" t="n">
        <v>46312</v>
      </c>
      <c r="F70" s="3" t="inlineStr">
        <is>
          <t>Sábado</t>
        </is>
      </c>
      <c r="G70" s="4" t="n">
        <v>46307</v>
      </c>
      <c r="H70" s="3" t="inlineStr">
        <is>
          <t>Intermedio S/sábado</t>
        </is>
      </c>
      <c r="I70" s="3" t="inlineStr">
        <is>
          <t>LIBRE</t>
        </is>
      </c>
      <c r="J70" s="5" t="n"/>
      <c r="K70" s="5" t="n"/>
      <c r="L70" s="5">
        <f>IF(COUNT(J70:K70)=2,K70-J70,0)</f>
        <v/>
      </c>
      <c r="M70" s="6">
        <f>L70*24</f>
        <v/>
      </c>
      <c r="N70" s="3" t="n">
        <v>0</v>
      </c>
      <c r="O70" s="6">
        <f>N70/60</f>
        <v/>
      </c>
      <c r="P70" s="6">
        <f>M70-O70</f>
        <v/>
      </c>
      <c r="Q70" s="6">
        <f>SUMIFS($P:$P,$A:$A,A70,$G:$G,G70)</f>
        <v/>
      </c>
      <c r="R70" s="5" t="n"/>
      <c r="S70" s="5" t="n"/>
      <c r="T70" s="5" t="n"/>
      <c r="U70" s="5" t="n"/>
      <c r="V70" s="3">
        <f>IF(COUNT(T70:U70)=2,ROUND((U70-T70)*1440,0),0)</f>
        <v/>
      </c>
    </row>
    <row r="71">
      <c r="A71" s="2" t="inlineStr">
        <is>
          <t>13333333-9</t>
        </is>
      </c>
      <c r="B71" s="3" t="inlineStr">
        <is>
          <t>Activo</t>
        </is>
      </c>
      <c r="C71" s="3" t="inlineStr">
        <is>
          <t>CARLA DÍAZ (EJEMPLO)</t>
        </is>
      </c>
      <c r="D71" s="3" t="inlineStr">
        <is>
          <t>EXAMEN Y PROCEDIMIENTOS</t>
        </is>
      </c>
      <c r="E71" s="4" t="n">
        <v>46314</v>
      </c>
      <c r="F71" s="3" t="inlineStr">
        <is>
          <t>Lunes</t>
        </is>
      </c>
      <c r="G71" s="4" t="n">
        <v>46314</v>
      </c>
      <c r="H71" s="3" t="inlineStr">
        <is>
          <t>Intermedio S/sábado</t>
        </is>
      </c>
      <c r="I71" s="3" t="inlineStr">
        <is>
          <t>TRABAJA</t>
        </is>
      </c>
      <c r="J71" s="5" t="n">
        <v>0.375</v>
      </c>
      <c r="K71" s="5" t="n">
        <v>0.7916666666666666</v>
      </c>
      <c r="L71" s="5">
        <f>IF(COUNT(J71:K71)=2,K71-J71,0)</f>
        <v/>
      </c>
      <c r="M71" s="6">
        <f>L71*24</f>
        <v/>
      </c>
      <c r="N71" s="3" t="n">
        <v>60</v>
      </c>
      <c r="O71" s="6">
        <f>N71/60</f>
        <v/>
      </c>
      <c r="P71" s="6">
        <f>M71-O71</f>
        <v/>
      </c>
      <c r="Q71" s="6">
        <f>SUMIFS($P:$P,$A:$A,A71,$G:$G,G71)</f>
        <v/>
      </c>
      <c r="R71" s="5" t="n">
        <v>0.4791666666666667</v>
      </c>
      <c r="S71" s="5" t="n">
        <v>0.75</v>
      </c>
      <c r="T71" s="5" t="n">
        <v>0.6145833333333334</v>
      </c>
      <c r="U71" s="5" t="n">
        <v>0.65625</v>
      </c>
      <c r="V71" s="3">
        <f>IF(COUNT(T71:U71)=2,ROUND((U71-T71)*1440,0),0)</f>
        <v/>
      </c>
    </row>
    <row r="72">
      <c r="A72" s="2" t="inlineStr">
        <is>
          <t>13333333-9</t>
        </is>
      </c>
      <c r="B72" s="3" t="inlineStr">
        <is>
          <t>Activo</t>
        </is>
      </c>
      <c r="C72" s="3" t="inlineStr">
        <is>
          <t>CARLA DÍAZ (EJEMPLO)</t>
        </is>
      </c>
      <c r="D72" s="3" t="inlineStr">
        <is>
          <t>EXAMEN Y PROCEDIMIENTOS</t>
        </is>
      </c>
      <c r="E72" s="4" t="n">
        <v>46315</v>
      </c>
      <c r="F72" s="3" t="inlineStr">
        <is>
          <t>Martes</t>
        </is>
      </c>
      <c r="G72" s="4" t="n">
        <v>46314</v>
      </c>
      <c r="H72" s="3" t="inlineStr">
        <is>
          <t>Intermedio S/sábado</t>
        </is>
      </c>
      <c r="I72" s="3" t="inlineStr">
        <is>
          <t>TRABAJA</t>
        </is>
      </c>
      <c r="J72" s="5" t="n">
        <v>0.375</v>
      </c>
      <c r="K72" s="5" t="n">
        <v>0.7916666666666666</v>
      </c>
      <c r="L72" s="5">
        <f>IF(COUNT(J72:K72)=2,K72-J72,0)</f>
        <v/>
      </c>
      <c r="M72" s="6">
        <f>L72*24</f>
        <v/>
      </c>
      <c r="N72" s="3" t="n">
        <v>60</v>
      </c>
      <c r="O72" s="6">
        <f>N72/60</f>
        <v/>
      </c>
      <c r="P72" s="6">
        <f>M72-O72</f>
        <v/>
      </c>
      <c r="Q72" s="6">
        <f>SUMIFS($P:$P,$A:$A,A72,$G:$G,G72)</f>
        <v/>
      </c>
      <c r="R72" s="5" t="n">
        <v>0.4791666666666667</v>
      </c>
      <c r="S72" s="5" t="n">
        <v>0.75</v>
      </c>
      <c r="T72" s="5" t="n">
        <v>0.6145833333333334</v>
      </c>
      <c r="U72" s="5" t="n">
        <v>0.65625</v>
      </c>
      <c r="V72" s="3">
        <f>IF(COUNT(T72:U72)=2,ROUND((U72-T72)*1440,0),0)</f>
        <v/>
      </c>
    </row>
    <row r="73">
      <c r="A73" s="2" t="inlineStr">
        <is>
          <t>13333333-9</t>
        </is>
      </c>
      <c r="B73" s="3" t="inlineStr">
        <is>
          <t>Activo</t>
        </is>
      </c>
      <c r="C73" s="3" t="inlineStr">
        <is>
          <t>CARLA DÍAZ (EJEMPLO)</t>
        </is>
      </c>
      <c r="D73" s="3" t="inlineStr">
        <is>
          <t>EXAMEN Y PROCEDIMIENTOS</t>
        </is>
      </c>
      <c r="E73" s="4" t="n">
        <v>46316</v>
      </c>
      <c r="F73" s="3" t="inlineStr">
        <is>
          <t>Miércoles</t>
        </is>
      </c>
      <c r="G73" s="4" t="n">
        <v>46314</v>
      </c>
      <c r="H73" s="3" t="inlineStr">
        <is>
          <t>Intermedio S/sábado</t>
        </is>
      </c>
      <c r="I73" s="3" t="inlineStr">
        <is>
          <t>TRABAJA</t>
        </is>
      </c>
      <c r="J73" s="5" t="n">
        <v>0.375</v>
      </c>
      <c r="K73" s="5" t="n">
        <v>0.75</v>
      </c>
      <c r="L73" s="5">
        <f>IF(COUNT(J73:K73)=2,K73-J73,0)</f>
        <v/>
      </c>
      <c r="M73" s="6">
        <f>L73*24</f>
        <v/>
      </c>
      <c r="N73" s="3" t="n">
        <v>60</v>
      </c>
      <c r="O73" s="6">
        <f>N73/60</f>
        <v/>
      </c>
      <c r="P73" s="6">
        <f>M73-O73</f>
        <v/>
      </c>
      <c r="Q73" s="6">
        <f>SUMIFS($P:$P,$A:$A,A73,$G:$G,G73)</f>
        <v/>
      </c>
      <c r="R73" s="5" t="n">
        <v>0.4583333333333333</v>
      </c>
      <c r="S73" s="5" t="n">
        <v>0.7083333333333334</v>
      </c>
      <c r="T73" s="5" t="n">
        <v>0.5520833333333334</v>
      </c>
      <c r="U73" s="5" t="n">
        <v>0.59375</v>
      </c>
      <c r="V73" s="3">
        <f>IF(COUNT(T73:U73)=2,ROUND((U73-T73)*1440,0),0)</f>
        <v/>
      </c>
    </row>
    <row r="74">
      <c r="A74" s="2" t="inlineStr">
        <is>
          <t>13333333-9</t>
        </is>
      </c>
      <c r="B74" s="3" t="inlineStr">
        <is>
          <t>Activo</t>
        </is>
      </c>
      <c r="C74" s="3" t="inlineStr">
        <is>
          <t>CARLA DÍAZ (EJEMPLO)</t>
        </is>
      </c>
      <c r="D74" s="3" t="inlineStr">
        <is>
          <t>EXAMEN Y PROCEDIMIENTOS</t>
        </is>
      </c>
      <c r="E74" s="4" t="n">
        <v>46317</v>
      </c>
      <c r="F74" s="3" t="inlineStr">
        <is>
          <t>Jueves</t>
        </is>
      </c>
      <c r="G74" s="4" t="n">
        <v>46314</v>
      </c>
      <c r="H74" s="3" t="inlineStr">
        <is>
          <t>Intermedio S/sábado</t>
        </is>
      </c>
      <c r="I74" s="3" t="inlineStr">
        <is>
          <t>TRABAJA</t>
        </is>
      </c>
      <c r="J74" s="5" t="n">
        <v>0.375</v>
      </c>
      <c r="K74" s="5" t="n">
        <v>0.75</v>
      </c>
      <c r="L74" s="5">
        <f>IF(COUNT(J74:K74)=2,K74-J74,0)</f>
        <v/>
      </c>
      <c r="M74" s="6">
        <f>L74*24</f>
        <v/>
      </c>
      <c r="N74" s="3" t="n">
        <v>60</v>
      </c>
      <c r="O74" s="6">
        <f>N74/60</f>
        <v/>
      </c>
      <c r="P74" s="6">
        <f>M74-O74</f>
        <v/>
      </c>
      <c r="Q74" s="6">
        <f>SUMIFS($P:$P,$A:$A,A74,$G:$G,G74)</f>
        <v/>
      </c>
      <c r="R74" s="5" t="n">
        <v>0.4583333333333333</v>
      </c>
      <c r="S74" s="5" t="n">
        <v>0.71875</v>
      </c>
      <c r="T74" s="5" t="n">
        <v>0.59375</v>
      </c>
      <c r="U74" s="5" t="n">
        <v>0.6354166666666666</v>
      </c>
      <c r="V74" s="3">
        <f>IF(COUNT(T74:U74)=2,ROUND((U74-T74)*1440,0),0)</f>
        <v/>
      </c>
    </row>
    <row r="75">
      <c r="A75" s="2" t="inlineStr">
        <is>
          <t>13333333-9</t>
        </is>
      </c>
      <c r="B75" s="3" t="inlineStr">
        <is>
          <t>Activo</t>
        </is>
      </c>
      <c r="C75" s="3" t="inlineStr">
        <is>
          <t>CARLA DÍAZ (EJEMPLO)</t>
        </is>
      </c>
      <c r="D75" s="3" t="inlineStr">
        <is>
          <t>EXAMEN Y PROCEDIMIENTOS</t>
        </is>
      </c>
      <c r="E75" s="4" t="n">
        <v>46318</v>
      </c>
      <c r="F75" s="3" t="inlineStr">
        <is>
          <t>Viernes</t>
        </is>
      </c>
      <c r="G75" s="4" t="n">
        <v>46314</v>
      </c>
      <c r="H75" s="3" t="inlineStr">
        <is>
          <t>Intermedio S/sábado</t>
        </is>
      </c>
      <c r="I75" s="3" t="inlineStr">
        <is>
          <t>TRABAJA</t>
        </is>
      </c>
      <c r="J75" s="5" t="n">
        <v>0.375</v>
      </c>
      <c r="K75" s="5" t="n">
        <v>0.75</v>
      </c>
      <c r="L75" s="5">
        <f>IF(COUNT(J75:K75)=2,K75-J75,0)</f>
        <v/>
      </c>
      <c r="M75" s="6">
        <f>L75*24</f>
        <v/>
      </c>
      <c r="N75" s="3" t="n">
        <v>60</v>
      </c>
      <c r="O75" s="6">
        <f>N75/60</f>
        <v/>
      </c>
      <c r="P75" s="6">
        <f>M75-O75</f>
        <v/>
      </c>
      <c r="Q75" s="6">
        <f>SUMIFS($P:$P,$A:$A,A75,$G:$G,G75)</f>
        <v/>
      </c>
      <c r="R75" s="5" t="n">
        <v>0.4583333333333333</v>
      </c>
      <c r="S75" s="5" t="n">
        <v>0.65625</v>
      </c>
      <c r="T75" s="5" t="n">
        <v>0.53125</v>
      </c>
      <c r="U75" s="5" t="n">
        <v>0.5729166666666666</v>
      </c>
      <c r="V75" s="3">
        <f>IF(COUNT(T75:U75)=2,ROUND((U75-T75)*1440,0),0)</f>
        <v/>
      </c>
    </row>
    <row r="76">
      <c r="A76" s="2" t="inlineStr">
        <is>
          <t>13333333-9</t>
        </is>
      </c>
      <c r="B76" s="3" t="inlineStr">
        <is>
          <t>Activo</t>
        </is>
      </c>
      <c r="C76" s="3" t="inlineStr">
        <is>
          <t>CARLA DÍAZ (EJEMPLO)</t>
        </is>
      </c>
      <c r="D76" s="3" t="inlineStr">
        <is>
          <t>EXAMEN Y PROCEDIMIENTOS</t>
        </is>
      </c>
      <c r="E76" s="4" t="n">
        <v>46319</v>
      </c>
      <c r="F76" s="3" t="inlineStr">
        <is>
          <t>Sábado</t>
        </is>
      </c>
      <c r="G76" s="4" t="n">
        <v>46314</v>
      </c>
      <c r="H76" s="3" t="inlineStr">
        <is>
          <t>Intermedio S/sábado</t>
        </is>
      </c>
      <c r="I76" s="3" t="inlineStr">
        <is>
          <t>LIBRE</t>
        </is>
      </c>
      <c r="J76" s="5" t="n"/>
      <c r="K76" s="5" t="n"/>
      <c r="L76" s="5">
        <f>IF(COUNT(J76:K76)=2,K76-J76,0)</f>
        <v/>
      </c>
      <c r="M76" s="6">
        <f>L76*24</f>
        <v/>
      </c>
      <c r="N76" s="3" t="n">
        <v>0</v>
      </c>
      <c r="O76" s="6">
        <f>N76/60</f>
        <v/>
      </c>
      <c r="P76" s="6">
        <f>M76-O76</f>
        <v/>
      </c>
      <c r="Q76" s="6">
        <f>SUMIFS($P:$P,$A:$A,A76,$G:$G,G76)</f>
        <v/>
      </c>
      <c r="R76" s="5" t="n"/>
      <c r="S76" s="5" t="n"/>
      <c r="T76" s="5" t="n"/>
      <c r="U76" s="5" t="n"/>
      <c r="V76" s="3">
        <f>IF(COUNT(T76:U76)=2,ROUND((U76-T76)*1440,0),0)</f>
        <v/>
      </c>
    </row>
    <row r="77">
      <c r="A77" s="2" t="inlineStr">
        <is>
          <t>13333333-9</t>
        </is>
      </c>
      <c r="B77" s="3" t="inlineStr">
        <is>
          <t>Activo</t>
        </is>
      </c>
      <c r="C77" s="3" t="inlineStr">
        <is>
          <t>CARLA DÍAZ (EJEMPLO)</t>
        </is>
      </c>
      <c r="D77" s="3" t="inlineStr">
        <is>
          <t>EXAMEN Y PROCEDIMIENTOS</t>
        </is>
      </c>
      <c r="E77" s="4" t="n">
        <v>46321</v>
      </c>
      <c r="F77" s="3" t="inlineStr">
        <is>
          <t>Lunes</t>
        </is>
      </c>
      <c r="G77" s="4" t="n">
        <v>46321</v>
      </c>
      <c r="H77" s="3" t="inlineStr">
        <is>
          <t>Mañana C/sábado</t>
        </is>
      </c>
      <c r="I77" s="3" t="inlineStr">
        <is>
          <t>TRABAJA</t>
        </is>
      </c>
      <c r="J77" s="5" t="n">
        <v>0.3333333333333333</v>
      </c>
      <c r="K77" s="5" t="n">
        <v>0.6875</v>
      </c>
      <c r="L77" s="5">
        <f>IF(COUNT(J77:K77)=2,K77-J77,0)</f>
        <v/>
      </c>
      <c r="M77" s="6">
        <f>L77*24</f>
        <v/>
      </c>
      <c r="N77" s="3" t="n">
        <v>60</v>
      </c>
      <c r="O77" s="6">
        <f>N77/60</f>
        <v/>
      </c>
      <c r="P77" s="6">
        <f>M77-O77</f>
        <v/>
      </c>
      <c r="Q77" s="6">
        <f>SUMIFS($P:$P,$A:$A,A77,$G:$G,G77)</f>
        <v/>
      </c>
      <c r="R77" s="5" t="n">
        <v>0.4166666666666667</v>
      </c>
      <c r="S77" s="5" t="n">
        <v>0.59375</v>
      </c>
      <c r="T77" s="5" t="n">
        <v>0.46875</v>
      </c>
      <c r="U77" s="5" t="n">
        <v>0.5104166666666666</v>
      </c>
      <c r="V77" s="3">
        <f>IF(COUNT(T77:U77)=2,ROUND((U77-T77)*1440,0),0)</f>
        <v/>
      </c>
    </row>
    <row r="78">
      <c r="A78" s="2" t="inlineStr">
        <is>
          <t>13333333-9</t>
        </is>
      </c>
      <c r="B78" s="3" t="inlineStr">
        <is>
          <t>Activo</t>
        </is>
      </c>
      <c r="C78" s="3" t="inlineStr">
        <is>
          <t>CARLA DÍAZ (EJEMPLO)</t>
        </is>
      </c>
      <c r="D78" s="3" t="inlineStr">
        <is>
          <t>EXAMEN Y PROCEDIMIENTOS</t>
        </is>
      </c>
      <c r="E78" s="4" t="n">
        <v>46322</v>
      </c>
      <c r="F78" s="3" t="inlineStr">
        <is>
          <t>Martes</t>
        </is>
      </c>
      <c r="G78" s="4" t="n">
        <v>46321</v>
      </c>
      <c r="H78" s="3" t="inlineStr">
        <is>
          <t>Mañana C/sábado</t>
        </is>
      </c>
      <c r="I78" s="3" t="inlineStr">
        <is>
          <t>TRABAJA</t>
        </is>
      </c>
      <c r="J78" s="5" t="n">
        <v>0.3333333333333333</v>
      </c>
      <c r="K78" s="5" t="n">
        <v>0.6875</v>
      </c>
      <c r="L78" s="5">
        <f>IF(COUNT(J78:K78)=2,K78-J78,0)</f>
        <v/>
      </c>
      <c r="M78" s="6">
        <f>L78*24</f>
        <v/>
      </c>
      <c r="N78" s="3" t="n">
        <v>60</v>
      </c>
      <c r="O78" s="6">
        <f>N78/60</f>
        <v/>
      </c>
      <c r="P78" s="6">
        <f>M78-O78</f>
        <v/>
      </c>
      <c r="Q78" s="6">
        <f>SUMIFS($P:$P,$A:$A,A78,$G:$G,G78)</f>
        <v/>
      </c>
      <c r="R78" s="5" t="n">
        <v>0.4166666666666667</v>
      </c>
      <c r="S78" s="5" t="n">
        <v>0.59375</v>
      </c>
      <c r="T78" s="5" t="n">
        <v>0.46875</v>
      </c>
      <c r="U78" s="5" t="n">
        <v>0.5104166666666666</v>
      </c>
      <c r="V78" s="3">
        <f>IF(COUNT(T78:U78)=2,ROUND((U78-T78)*1440,0),0)</f>
        <v/>
      </c>
    </row>
    <row r="79">
      <c r="A79" s="2" t="inlineStr">
        <is>
          <t>13333333-9</t>
        </is>
      </c>
      <c r="B79" s="3" t="inlineStr">
        <is>
          <t>Activo</t>
        </is>
      </c>
      <c r="C79" s="3" t="inlineStr">
        <is>
          <t>CARLA DÍAZ (EJEMPLO)</t>
        </is>
      </c>
      <c r="D79" s="3" t="inlineStr">
        <is>
          <t>EXAMEN Y PROCEDIMIENTOS</t>
        </is>
      </c>
      <c r="E79" s="4" t="n">
        <v>46323</v>
      </c>
      <c r="F79" s="3" t="inlineStr">
        <is>
          <t>Miércoles</t>
        </is>
      </c>
      <c r="G79" s="4" t="n">
        <v>46321</v>
      </c>
      <c r="H79" s="3" t="inlineStr">
        <is>
          <t>Mañana C/sábado</t>
        </is>
      </c>
      <c r="I79" s="3" t="inlineStr">
        <is>
          <t>TRABAJA</t>
        </is>
      </c>
      <c r="J79" s="5" t="n">
        <v>0.3333333333333333</v>
      </c>
      <c r="K79" s="5" t="n">
        <v>0.6875</v>
      </c>
      <c r="L79" s="5">
        <f>IF(COUNT(J79:K79)=2,K79-J79,0)</f>
        <v/>
      </c>
      <c r="M79" s="6">
        <f>L79*24</f>
        <v/>
      </c>
      <c r="N79" s="3" t="n">
        <v>60</v>
      </c>
      <c r="O79" s="6">
        <f>N79/60</f>
        <v/>
      </c>
      <c r="P79" s="6">
        <f>M79-O79</f>
        <v/>
      </c>
      <c r="Q79" s="6">
        <f>SUMIFS($P:$P,$A:$A,A79,$G:$G,G79)</f>
        <v/>
      </c>
      <c r="R79" s="5" t="n">
        <v>0.4166666666666667</v>
      </c>
      <c r="S79" s="5" t="n">
        <v>0.6354166666666666</v>
      </c>
      <c r="T79" s="5" t="n">
        <v>0.46875</v>
      </c>
      <c r="U79" s="5" t="n">
        <v>0.5104166666666666</v>
      </c>
      <c r="V79" s="3">
        <f>IF(COUNT(T79:U79)=2,ROUND((U79-T79)*1440,0),0)</f>
        <v/>
      </c>
    </row>
    <row r="80">
      <c r="A80" s="2" t="inlineStr">
        <is>
          <t>13333333-9</t>
        </is>
      </c>
      <c r="B80" s="3" t="inlineStr">
        <is>
          <t>Activo</t>
        </is>
      </c>
      <c r="C80" s="3" t="inlineStr">
        <is>
          <t>CARLA DÍAZ (EJEMPLO)</t>
        </is>
      </c>
      <c r="D80" s="3" t="inlineStr">
        <is>
          <t>EXAMEN Y PROCEDIMIENTOS</t>
        </is>
      </c>
      <c r="E80" s="4" t="n">
        <v>46324</v>
      </c>
      <c r="F80" s="3" t="inlineStr">
        <is>
          <t>Jueves</t>
        </is>
      </c>
      <c r="G80" s="4" t="n">
        <v>46321</v>
      </c>
      <c r="H80" s="3" t="inlineStr">
        <is>
          <t>Mañana C/sábado</t>
        </is>
      </c>
      <c r="I80" s="3" t="inlineStr">
        <is>
          <t>TRABAJA</t>
        </is>
      </c>
      <c r="J80" s="5" t="n">
        <v>0.3333333333333333</v>
      </c>
      <c r="K80" s="5" t="n">
        <v>0.6666666666666666</v>
      </c>
      <c r="L80" s="5">
        <f>IF(COUNT(J80:K80)=2,K80-J80,0)</f>
        <v/>
      </c>
      <c r="M80" s="6">
        <f>L80*24</f>
        <v/>
      </c>
      <c r="N80" s="3" t="n">
        <v>60</v>
      </c>
      <c r="O80" s="6">
        <f>N80/60</f>
        <v/>
      </c>
      <c r="P80" s="6">
        <f>M80-O80</f>
        <v/>
      </c>
      <c r="Q80" s="6">
        <f>SUMIFS($P:$P,$A:$A,A80,$G:$G,G80)</f>
        <v/>
      </c>
      <c r="R80" s="5" t="n">
        <v>0.4166666666666667</v>
      </c>
      <c r="S80" s="5" t="n">
        <v>0.625</v>
      </c>
      <c r="T80" s="5" t="n">
        <v>0.46875</v>
      </c>
      <c r="U80" s="5" t="n">
        <v>0.5104166666666666</v>
      </c>
      <c r="V80" s="3">
        <f>IF(COUNT(T80:U80)=2,ROUND((U80-T80)*1440,0),0)</f>
        <v/>
      </c>
    </row>
    <row r="81">
      <c r="A81" s="2" t="inlineStr">
        <is>
          <t>13333333-9</t>
        </is>
      </c>
      <c r="B81" s="3" t="inlineStr">
        <is>
          <t>Activo</t>
        </is>
      </c>
      <c r="C81" s="3" t="inlineStr">
        <is>
          <t>CARLA DÍAZ (EJEMPLO)</t>
        </is>
      </c>
      <c r="D81" s="3" t="inlineStr">
        <is>
          <t>EXAMEN Y PROCEDIMIENTOS</t>
        </is>
      </c>
      <c r="E81" s="4" t="n">
        <v>46325</v>
      </c>
      <c r="F81" s="3" t="inlineStr">
        <is>
          <t>Viernes</t>
        </is>
      </c>
      <c r="G81" s="4" t="n">
        <v>46321</v>
      </c>
      <c r="H81" s="3" t="inlineStr">
        <is>
          <t>Mañana C/sábado</t>
        </is>
      </c>
      <c r="I81" s="3" t="inlineStr">
        <is>
          <t>TRABAJA</t>
        </is>
      </c>
      <c r="J81" s="5" t="n">
        <v>0.3333333333333333</v>
      </c>
      <c r="K81" s="5" t="n">
        <v>0.6666666666666666</v>
      </c>
      <c r="L81" s="5">
        <f>IF(COUNT(J81:K81)=2,K81-J81,0)</f>
        <v/>
      </c>
      <c r="M81" s="6">
        <f>L81*24</f>
        <v/>
      </c>
      <c r="N81" s="3" t="n">
        <v>60</v>
      </c>
      <c r="O81" s="6">
        <f>N81/60</f>
        <v/>
      </c>
      <c r="P81" s="6">
        <f>M81-O81</f>
        <v/>
      </c>
      <c r="Q81" s="6">
        <f>SUMIFS($P:$P,$A:$A,A81,$G:$G,G81)</f>
        <v/>
      </c>
      <c r="R81" s="5" t="n">
        <v>0.4166666666666667</v>
      </c>
      <c r="S81" s="5" t="n">
        <v>0.6354166666666666</v>
      </c>
      <c r="T81" s="5" t="n">
        <v>0.46875</v>
      </c>
      <c r="U81" s="5" t="n">
        <v>0.5104166666666666</v>
      </c>
      <c r="V81" s="3">
        <f>IF(COUNT(T81:U81)=2,ROUND((U81-T81)*1440,0),0)</f>
        <v/>
      </c>
    </row>
    <row r="82">
      <c r="A82" s="2" t="inlineStr">
        <is>
          <t>13333333-9</t>
        </is>
      </c>
      <c r="B82" s="3" t="inlineStr">
        <is>
          <t>Activo</t>
        </is>
      </c>
      <c r="C82" s="3" t="inlineStr">
        <is>
          <t>CARLA DÍAZ (EJEMPLO)</t>
        </is>
      </c>
      <c r="D82" s="3" t="inlineStr">
        <is>
          <t>EXAMEN Y PROCEDIMIENTOS</t>
        </is>
      </c>
      <c r="E82" s="4" t="n">
        <v>46326</v>
      </c>
      <c r="F82" s="3" t="inlineStr">
        <is>
          <t>Sábado</t>
        </is>
      </c>
      <c r="G82" s="4" t="n">
        <v>46321</v>
      </c>
      <c r="H82" s="3" t="inlineStr">
        <is>
          <t>Mañana C/sábado</t>
        </is>
      </c>
      <c r="I82" s="3" t="inlineStr">
        <is>
          <t>FERIADO</t>
        </is>
      </c>
      <c r="J82" s="5" t="n"/>
      <c r="K82" s="5" t="n"/>
      <c r="L82" s="5">
        <f>IF(COUNT(J82:K82)=2,K82-J82,0)</f>
        <v/>
      </c>
      <c r="M82" s="6">
        <f>L82*24</f>
        <v/>
      </c>
      <c r="N82" s="3" t="n">
        <v>0</v>
      </c>
      <c r="O82" s="6">
        <f>N82/60</f>
        <v/>
      </c>
      <c r="P82" s="6">
        <f>M82-O82</f>
        <v/>
      </c>
      <c r="Q82" s="6">
        <f>SUMIFS($P:$P,$A:$A,A82,$G:$G,G82)</f>
        <v/>
      </c>
      <c r="R82" s="5" t="n"/>
      <c r="S82" s="5" t="n"/>
      <c r="T82" s="5" t="n"/>
      <c r="U82" s="5" t="n"/>
      <c r="V82" s="3">
        <f>IF(COUNT(T82:U82)=2,ROUND((U82-T82)*1440,0),0)</f>
        <v/>
      </c>
    </row>
    <row r="83">
      <c r="A83" s="2" t="inlineStr">
        <is>
          <t>14444444-2</t>
        </is>
      </c>
      <c r="B83" s="3" t="inlineStr">
        <is>
          <t>Activo</t>
        </is>
      </c>
      <c r="C83" s="3" t="inlineStr">
        <is>
          <t>DIEGO ROJAS (EJEMPLO)</t>
        </is>
      </c>
      <c r="D83" s="3" t="inlineStr">
        <is>
          <t>EXAMEN Y PROCEDIMIENTOS</t>
        </is>
      </c>
      <c r="E83" s="4" t="n">
        <v>46296</v>
      </c>
      <c r="F83" s="3" t="inlineStr">
        <is>
          <t>Jueves</t>
        </is>
      </c>
      <c r="G83" s="4" t="n">
        <v>46293</v>
      </c>
      <c r="H83" s="3" t="inlineStr">
        <is>
          <t>Mañana C/sábado</t>
        </is>
      </c>
      <c r="I83" s="3" t="inlineStr">
        <is>
          <t>TRABAJA</t>
        </is>
      </c>
      <c r="J83" s="5" t="n">
        <v>0.3333333333333333</v>
      </c>
      <c r="K83" s="5" t="n">
        <v>0.6666666666666666</v>
      </c>
      <c r="L83" s="5">
        <f>IF(COUNT(J83:K83)=2,K83-J83,0)</f>
        <v/>
      </c>
      <c r="M83" s="6">
        <f>L83*24</f>
        <v/>
      </c>
      <c r="N83" s="3" t="n">
        <v>60</v>
      </c>
      <c r="O83" s="6">
        <f>N83/60</f>
        <v/>
      </c>
      <c r="P83" s="6">
        <f>M83-O83</f>
        <v/>
      </c>
      <c r="Q83" s="6">
        <f>SUMIFS($P:$P,$A:$A,A83,$G:$G,G83)</f>
        <v/>
      </c>
      <c r="R83" s="5" t="n">
        <v>0.4166666666666667</v>
      </c>
      <c r="S83" s="5" t="n">
        <v>0.6041666666666666</v>
      </c>
      <c r="T83" s="5" t="n">
        <v>0.46875</v>
      </c>
      <c r="U83" s="5" t="n">
        <v>0.5104166666666666</v>
      </c>
      <c r="V83" s="3">
        <f>IF(COUNT(T83:U83)=2,ROUND((U83-T83)*1440,0),0)</f>
        <v/>
      </c>
    </row>
    <row r="84">
      <c r="A84" s="2" t="inlineStr">
        <is>
          <t>14444444-2</t>
        </is>
      </c>
      <c r="B84" s="3" t="inlineStr">
        <is>
          <t>Activo</t>
        </is>
      </c>
      <c r="C84" s="3" t="inlineStr">
        <is>
          <t>DIEGO ROJAS (EJEMPLO)</t>
        </is>
      </c>
      <c r="D84" s="3" t="inlineStr">
        <is>
          <t>EXAMEN Y PROCEDIMIENTOS</t>
        </is>
      </c>
      <c r="E84" s="4" t="n">
        <v>46297</v>
      </c>
      <c r="F84" s="3" t="inlineStr">
        <is>
          <t>Viernes</t>
        </is>
      </c>
      <c r="G84" s="4" t="n">
        <v>46293</v>
      </c>
      <c r="H84" s="3" t="inlineStr">
        <is>
          <t>Mañana C/sábado</t>
        </is>
      </c>
      <c r="I84" s="3" t="inlineStr">
        <is>
          <t>TRABAJA</t>
        </is>
      </c>
      <c r="J84" s="5" t="n">
        <v>0.3333333333333333</v>
      </c>
      <c r="K84" s="5" t="n">
        <v>0.6666666666666666</v>
      </c>
      <c r="L84" s="5">
        <f>IF(COUNT(J84:K84)=2,K84-J84,0)</f>
        <v/>
      </c>
      <c r="M84" s="6">
        <f>L84*24</f>
        <v/>
      </c>
      <c r="N84" s="3" t="n">
        <v>60</v>
      </c>
      <c r="O84" s="6">
        <f>N84/60</f>
        <v/>
      </c>
      <c r="P84" s="6">
        <f>M84-O84</f>
        <v/>
      </c>
      <c r="Q84" s="6">
        <f>SUMIFS($P:$P,$A:$A,A84,$G:$G,G84)</f>
        <v/>
      </c>
      <c r="R84" s="5" t="n">
        <v>0.4166666666666667</v>
      </c>
      <c r="S84" s="5" t="n">
        <v>0.6041666666666666</v>
      </c>
      <c r="T84" s="5" t="n">
        <v>0.46875</v>
      </c>
      <c r="U84" s="5" t="n">
        <v>0.5104166666666666</v>
      </c>
      <c r="V84" s="3">
        <f>IF(COUNT(T84:U84)=2,ROUND((U84-T84)*1440,0),0)</f>
        <v/>
      </c>
    </row>
    <row r="85">
      <c r="A85" s="2" t="inlineStr">
        <is>
          <t>14444444-2</t>
        </is>
      </c>
      <c r="B85" s="3" t="inlineStr">
        <is>
          <t>Activo</t>
        </is>
      </c>
      <c r="C85" s="3" t="inlineStr">
        <is>
          <t>DIEGO ROJAS (EJEMPLO)</t>
        </is>
      </c>
      <c r="D85" s="3" t="inlineStr">
        <is>
          <t>EXAMEN Y PROCEDIMIENTOS</t>
        </is>
      </c>
      <c r="E85" s="4" t="n">
        <v>46298</v>
      </c>
      <c r="F85" s="3" t="inlineStr">
        <is>
          <t>Sábado</t>
        </is>
      </c>
      <c r="G85" s="4" t="n">
        <v>46293</v>
      </c>
      <c r="H85" s="3" t="inlineStr">
        <is>
          <t>Mañana C/sábado</t>
        </is>
      </c>
      <c r="I85" s="3" t="inlineStr">
        <is>
          <t>TRABAJA</t>
        </is>
      </c>
      <c r="J85" s="5" t="n">
        <v>0.3333333333333333</v>
      </c>
      <c r="K85" s="5" t="n">
        <v>0.5833333333333334</v>
      </c>
      <c r="L85" s="5">
        <f>IF(COUNT(J85:K85)=2,K85-J85,0)</f>
        <v/>
      </c>
      <c r="M85" s="6">
        <f>L85*24</f>
        <v/>
      </c>
      <c r="N85" s="3" t="n">
        <v>30</v>
      </c>
      <c r="O85" s="6">
        <f>N85/60</f>
        <v/>
      </c>
      <c r="P85" s="6">
        <f>M85-O85</f>
        <v/>
      </c>
      <c r="Q85" s="6">
        <f>SUMIFS($P:$P,$A:$A,A85,$G:$G,G85)</f>
        <v/>
      </c>
      <c r="R85" s="5" t="n"/>
      <c r="S85" s="5" t="n"/>
      <c r="T85" s="5" t="n">
        <v>0.4583333333333333</v>
      </c>
      <c r="U85" s="5" t="n">
        <v>0.4791666666666667</v>
      </c>
      <c r="V85" s="3">
        <f>IF(COUNT(T85:U85)=2,ROUND((U85-T85)*1440,0),0)</f>
        <v/>
      </c>
    </row>
    <row r="86">
      <c r="A86" s="2" t="inlineStr">
        <is>
          <t>14444444-2</t>
        </is>
      </c>
      <c r="B86" s="3" t="inlineStr">
        <is>
          <t>Activo</t>
        </is>
      </c>
      <c r="C86" s="3" t="inlineStr">
        <is>
          <t>DIEGO ROJAS (EJEMPLO)</t>
        </is>
      </c>
      <c r="D86" s="3" t="inlineStr">
        <is>
          <t>EXAMEN Y PROCEDIMIENTOS</t>
        </is>
      </c>
      <c r="E86" s="4" t="n">
        <v>46300</v>
      </c>
      <c r="F86" s="3" t="inlineStr">
        <is>
          <t>Lunes</t>
        </is>
      </c>
      <c r="G86" s="4" t="n">
        <v>46300</v>
      </c>
      <c r="H86" s="3" t="inlineStr">
        <is>
          <t>Tarde S/sábado</t>
        </is>
      </c>
      <c r="I86" s="3" t="inlineStr">
        <is>
          <t>TRABAJA</t>
        </is>
      </c>
      <c r="J86" s="5" t="n">
        <v>0.4375</v>
      </c>
      <c r="K86" s="5" t="n">
        <v>0.8333333333333334</v>
      </c>
      <c r="L86" s="5">
        <f>IF(COUNT(J86:K86)=2,K86-J86,0)</f>
        <v/>
      </c>
      <c r="M86" s="6">
        <f>L86*24</f>
        <v/>
      </c>
      <c r="N86" s="3" t="n">
        <v>60</v>
      </c>
      <c r="O86" s="6">
        <f>N86/60</f>
        <v/>
      </c>
      <c r="P86" s="6">
        <f>M86-O86</f>
        <v/>
      </c>
      <c r="Q86" s="6">
        <f>SUMIFS($P:$P,$A:$A,A86,$G:$G,G86)</f>
        <v/>
      </c>
      <c r="R86" s="5" t="n">
        <v>0.5416666666666666</v>
      </c>
      <c r="S86" s="5" t="n">
        <v>0.8020833333333334</v>
      </c>
      <c r="T86" s="5" t="n">
        <v>0.6770833333333334</v>
      </c>
      <c r="U86" s="5" t="n">
        <v>0.71875</v>
      </c>
      <c r="V86" s="3">
        <f>IF(COUNT(T86:U86)=2,ROUND((U86-T86)*1440,0),0)</f>
        <v/>
      </c>
    </row>
    <row r="87">
      <c r="A87" s="2" t="inlineStr">
        <is>
          <t>14444444-2</t>
        </is>
      </c>
      <c r="B87" s="3" t="inlineStr">
        <is>
          <t>Activo</t>
        </is>
      </c>
      <c r="C87" s="3" t="inlineStr">
        <is>
          <t>DIEGO ROJAS (EJEMPLO)</t>
        </is>
      </c>
      <c r="D87" s="3" t="inlineStr">
        <is>
          <t>EXAMEN Y PROCEDIMIENTOS</t>
        </is>
      </c>
      <c r="E87" s="4" t="n">
        <v>46301</v>
      </c>
      <c r="F87" s="3" t="inlineStr">
        <is>
          <t>Martes</t>
        </is>
      </c>
      <c r="G87" s="4" t="n">
        <v>46300</v>
      </c>
      <c r="H87" s="3" t="inlineStr">
        <is>
          <t>Tarde S/sábado</t>
        </is>
      </c>
      <c r="I87" s="3" t="inlineStr">
        <is>
          <t>TRABAJA</t>
        </is>
      </c>
      <c r="J87" s="5" t="n">
        <v>0.4375</v>
      </c>
      <c r="K87" s="5" t="n">
        <v>0.8333333333333334</v>
      </c>
      <c r="L87" s="5">
        <f>IF(COUNT(J87:K87)=2,K87-J87,0)</f>
        <v/>
      </c>
      <c r="M87" s="6">
        <f>L87*24</f>
        <v/>
      </c>
      <c r="N87" s="3" t="n">
        <v>60</v>
      </c>
      <c r="O87" s="6">
        <f>N87/60</f>
        <v/>
      </c>
      <c r="P87" s="6">
        <f>M87-O87</f>
        <v/>
      </c>
      <c r="Q87" s="6">
        <f>SUMIFS($P:$P,$A:$A,A87,$G:$G,G87)</f>
        <v/>
      </c>
      <c r="R87" s="5" t="n">
        <v>0.5416666666666666</v>
      </c>
      <c r="S87" s="5" t="n">
        <v>0.8020833333333334</v>
      </c>
      <c r="T87" s="5" t="n">
        <v>0.6770833333333334</v>
      </c>
      <c r="U87" s="5" t="n">
        <v>0.71875</v>
      </c>
      <c r="V87" s="3">
        <f>IF(COUNT(T87:U87)=2,ROUND((U87-T87)*1440,0),0)</f>
        <v/>
      </c>
    </row>
    <row r="88">
      <c r="A88" s="2" t="inlineStr">
        <is>
          <t>14444444-2</t>
        </is>
      </c>
      <c r="B88" s="3" t="inlineStr">
        <is>
          <t>Activo</t>
        </is>
      </c>
      <c r="C88" s="3" t="inlineStr">
        <is>
          <t>DIEGO ROJAS (EJEMPLO)</t>
        </is>
      </c>
      <c r="D88" s="3" t="inlineStr">
        <is>
          <t>EXAMEN Y PROCEDIMIENTOS</t>
        </is>
      </c>
      <c r="E88" s="4" t="n">
        <v>46302</v>
      </c>
      <c r="F88" s="3" t="inlineStr">
        <is>
          <t>Miércoles</t>
        </is>
      </c>
      <c r="G88" s="4" t="n">
        <v>46300</v>
      </c>
      <c r="H88" s="3" t="inlineStr">
        <is>
          <t>Tarde S/sábado</t>
        </is>
      </c>
      <c r="I88" s="3" t="inlineStr">
        <is>
          <t>TRABAJA</t>
        </is>
      </c>
      <c r="J88" s="5" t="n">
        <v>0.4375</v>
      </c>
      <c r="K88" s="5" t="n">
        <v>0.8333333333333334</v>
      </c>
      <c r="L88" s="5">
        <f>IF(COUNT(J88:K88)=2,K88-J88,0)</f>
        <v/>
      </c>
      <c r="M88" s="6">
        <f>L88*24</f>
        <v/>
      </c>
      <c r="N88" s="3" t="n">
        <v>60</v>
      </c>
      <c r="O88" s="6">
        <f>N88/60</f>
        <v/>
      </c>
      <c r="P88" s="6">
        <f>M88-O88</f>
        <v/>
      </c>
      <c r="Q88" s="6">
        <f>SUMIFS($P:$P,$A:$A,A88,$G:$G,G88)</f>
        <v/>
      </c>
      <c r="R88" s="5" t="n">
        <v>0.5208333333333334</v>
      </c>
      <c r="S88" s="5" t="n">
        <v>0.7604166666666666</v>
      </c>
      <c r="T88" s="5" t="n">
        <v>0.6354166666666666</v>
      </c>
      <c r="U88" s="5" t="n">
        <v>0.6770833333333334</v>
      </c>
      <c r="V88" s="3">
        <f>IF(COUNT(T88:U88)=2,ROUND((U88-T88)*1440,0),0)</f>
        <v/>
      </c>
    </row>
    <row r="89">
      <c r="A89" s="2" t="inlineStr">
        <is>
          <t>14444444-2</t>
        </is>
      </c>
      <c r="B89" s="3" t="inlineStr">
        <is>
          <t>Activo</t>
        </is>
      </c>
      <c r="C89" s="3" t="inlineStr">
        <is>
          <t>DIEGO ROJAS (EJEMPLO)</t>
        </is>
      </c>
      <c r="D89" s="3" t="inlineStr">
        <is>
          <t>EXAMEN Y PROCEDIMIENTOS</t>
        </is>
      </c>
      <c r="E89" s="4" t="n">
        <v>46303</v>
      </c>
      <c r="F89" s="3" t="inlineStr">
        <is>
          <t>Jueves</t>
        </is>
      </c>
      <c r="G89" s="4" t="n">
        <v>46300</v>
      </c>
      <c r="H89" s="3" t="inlineStr">
        <is>
          <t>Tarde S/sábado</t>
        </is>
      </c>
      <c r="I89" s="3" t="inlineStr">
        <is>
          <t>TRABAJA</t>
        </is>
      </c>
      <c r="J89" s="5" t="n">
        <v>0.4375</v>
      </c>
      <c r="K89" s="5" t="n">
        <v>0.8333333333333334</v>
      </c>
      <c r="L89" s="5">
        <f>IF(COUNT(J89:K89)=2,K89-J89,0)</f>
        <v/>
      </c>
      <c r="M89" s="6">
        <f>L89*24</f>
        <v/>
      </c>
      <c r="N89" s="3" t="n">
        <v>60</v>
      </c>
      <c r="O89" s="6">
        <f>N89/60</f>
        <v/>
      </c>
      <c r="P89" s="6">
        <f>M89-O89</f>
        <v/>
      </c>
      <c r="Q89" s="6">
        <f>SUMIFS($P:$P,$A:$A,A89,$G:$G,G89)</f>
        <v/>
      </c>
      <c r="R89" s="5" t="n">
        <v>0.53125</v>
      </c>
      <c r="S89" s="5" t="n">
        <v>0.78125</v>
      </c>
      <c r="T89" s="5" t="n">
        <v>0.65625</v>
      </c>
      <c r="U89" s="5" t="n">
        <v>0.6979166666666666</v>
      </c>
      <c r="V89" s="3">
        <f>IF(COUNT(T89:U89)=2,ROUND((U89-T89)*1440,0),0)</f>
        <v/>
      </c>
    </row>
    <row r="90">
      <c r="A90" s="2" t="inlineStr">
        <is>
          <t>14444444-2</t>
        </is>
      </c>
      <c r="B90" s="3" t="inlineStr">
        <is>
          <t>Activo</t>
        </is>
      </c>
      <c r="C90" s="3" t="inlineStr">
        <is>
          <t>DIEGO ROJAS (EJEMPLO)</t>
        </is>
      </c>
      <c r="D90" s="3" t="inlineStr">
        <is>
          <t>EXAMEN Y PROCEDIMIENTOS</t>
        </is>
      </c>
      <c r="E90" s="4" t="n">
        <v>46304</v>
      </c>
      <c r="F90" s="3" t="inlineStr">
        <is>
          <t>Viernes</t>
        </is>
      </c>
      <c r="G90" s="4" t="n">
        <v>46300</v>
      </c>
      <c r="H90" s="3" t="inlineStr">
        <is>
          <t>Tarde S/sábado</t>
        </is>
      </c>
      <c r="I90" s="3" t="inlineStr">
        <is>
          <t>TRABAJA</t>
        </is>
      </c>
      <c r="J90" s="5" t="n">
        <v>0.4583333333333333</v>
      </c>
      <c r="K90" s="5" t="n">
        <v>0.8333333333333334</v>
      </c>
      <c r="L90" s="5">
        <f>IF(COUNT(J90:K90)=2,K90-J90,0)</f>
        <v/>
      </c>
      <c r="M90" s="6">
        <f>L90*24</f>
        <v/>
      </c>
      <c r="N90" s="3" t="n">
        <v>60</v>
      </c>
      <c r="O90" s="6">
        <f>N90/60</f>
        <v/>
      </c>
      <c r="P90" s="6">
        <f>M90-O90</f>
        <v/>
      </c>
      <c r="Q90" s="6">
        <f>SUMIFS($P:$P,$A:$A,A90,$G:$G,G90)</f>
        <v/>
      </c>
      <c r="R90" s="5" t="n">
        <v>0.5416666666666666</v>
      </c>
      <c r="S90" s="5" t="n">
        <v>0.8020833333333334</v>
      </c>
      <c r="T90" s="5" t="n">
        <v>0.6770833333333334</v>
      </c>
      <c r="U90" s="5" t="n">
        <v>0.71875</v>
      </c>
      <c r="V90" s="3">
        <f>IF(COUNT(T90:U90)=2,ROUND((U90-T90)*1440,0),0)</f>
        <v/>
      </c>
    </row>
    <row r="91">
      <c r="A91" s="2" t="inlineStr">
        <is>
          <t>14444444-2</t>
        </is>
      </c>
      <c r="B91" s="3" t="inlineStr">
        <is>
          <t>Activo</t>
        </is>
      </c>
      <c r="C91" s="3" t="inlineStr">
        <is>
          <t>DIEGO ROJAS (EJEMPLO)</t>
        </is>
      </c>
      <c r="D91" s="3" t="inlineStr">
        <is>
          <t>EXAMEN Y PROCEDIMIENTOS</t>
        </is>
      </c>
      <c r="E91" s="4" t="n">
        <v>46305</v>
      </c>
      <c r="F91" s="3" t="inlineStr">
        <is>
          <t>Sábado</t>
        </is>
      </c>
      <c r="G91" s="4" t="n">
        <v>46300</v>
      </c>
      <c r="H91" s="3" t="inlineStr">
        <is>
          <t>Tarde S/sábado</t>
        </is>
      </c>
      <c r="I91" s="3" t="inlineStr">
        <is>
          <t>LIBRE</t>
        </is>
      </c>
      <c r="J91" s="5" t="n"/>
      <c r="K91" s="5" t="n"/>
      <c r="L91" s="5">
        <f>IF(COUNT(J91:K91)=2,K91-J91,0)</f>
        <v/>
      </c>
      <c r="M91" s="6">
        <f>L91*24</f>
        <v/>
      </c>
      <c r="N91" s="3" t="n">
        <v>0</v>
      </c>
      <c r="O91" s="6">
        <f>N91/60</f>
        <v/>
      </c>
      <c r="P91" s="6">
        <f>M91-O91</f>
        <v/>
      </c>
      <c r="Q91" s="6">
        <f>SUMIFS($P:$P,$A:$A,A91,$G:$G,G91)</f>
        <v/>
      </c>
      <c r="R91" s="5" t="n"/>
      <c r="S91" s="5" t="n"/>
      <c r="T91" s="5" t="n"/>
      <c r="U91" s="5" t="n"/>
      <c r="V91" s="3">
        <f>IF(COUNT(T91:U91)=2,ROUND((U91-T91)*1440,0),0)</f>
        <v/>
      </c>
    </row>
    <row r="92">
      <c r="A92" s="2" t="inlineStr">
        <is>
          <t>14444444-2</t>
        </is>
      </c>
      <c r="B92" s="3" t="inlineStr">
        <is>
          <t>Activo</t>
        </is>
      </c>
      <c r="C92" s="3" t="inlineStr">
        <is>
          <t>DIEGO ROJAS (EJEMPLO)</t>
        </is>
      </c>
      <c r="D92" s="3" t="inlineStr">
        <is>
          <t>EXAMEN Y PROCEDIMIENTOS</t>
        </is>
      </c>
      <c r="E92" s="4" t="n">
        <v>46307</v>
      </c>
      <c r="F92" s="3" t="inlineStr">
        <is>
          <t>Lunes</t>
        </is>
      </c>
      <c r="G92" s="4" t="n">
        <v>46307</v>
      </c>
      <c r="H92" s="3" t="inlineStr">
        <is>
          <t>Intermedio S/sábado</t>
        </is>
      </c>
      <c r="I92" s="3" t="inlineStr">
        <is>
          <t>FERIADO</t>
        </is>
      </c>
      <c r="J92" s="5" t="n"/>
      <c r="K92" s="5" t="n"/>
      <c r="L92" s="5">
        <f>IF(COUNT(J92:K92)=2,K92-J92,0)</f>
        <v/>
      </c>
      <c r="M92" s="6">
        <f>L92*24</f>
        <v/>
      </c>
      <c r="N92" s="3" t="n">
        <v>0</v>
      </c>
      <c r="O92" s="6">
        <f>N92/60</f>
        <v/>
      </c>
      <c r="P92" s="6">
        <f>M92-O92</f>
        <v/>
      </c>
      <c r="Q92" s="6">
        <f>SUMIFS($P:$P,$A:$A,A92,$G:$G,G92)</f>
        <v/>
      </c>
      <c r="R92" s="5" t="n"/>
      <c r="S92" s="5" t="n"/>
      <c r="T92" s="5" t="n"/>
      <c r="U92" s="5" t="n"/>
      <c r="V92" s="3">
        <f>IF(COUNT(T92:U92)=2,ROUND((U92-T92)*1440,0),0)</f>
        <v/>
      </c>
    </row>
    <row r="93">
      <c r="A93" s="2" t="inlineStr">
        <is>
          <t>14444444-2</t>
        </is>
      </c>
      <c r="B93" s="3" t="inlineStr">
        <is>
          <t>Activo</t>
        </is>
      </c>
      <c r="C93" s="3" t="inlineStr">
        <is>
          <t>DIEGO ROJAS (EJEMPLO)</t>
        </is>
      </c>
      <c r="D93" s="3" t="inlineStr">
        <is>
          <t>EXAMEN Y PROCEDIMIENTOS</t>
        </is>
      </c>
      <c r="E93" s="4" t="n">
        <v>46308</v>
      </c>
      <c r="F93" s="3" t="inlineStr">
        <is>
          <t>Martes</t>
        </is>
      </c>
      <c r="G93" s="4" t="n">
        <v>46307</v>
      </c>
      <c r="H93" s="3" t="inlineStr">
        <is>
          <t>Intermedio S/sábado</t>
        </is>
      </c>
      <c r="I93" s="3" t="inlineStr">
        <is>
          <t>TRABAJA</t>
        </is>
      </c>
      <c r="J93" s="5" t="n">
        <v>0.375</v>
      </c>
      <c r="K93" s="5" t="n">
        <v>0.7916666666666666</v>
      </c>
      <c r="L93" s="5">
        <f>IF(COUNT(J93:K93)=2,K93-J93,0)</f>
        <v/>
      </c>
      <c r="M93" s="6">
        <f>L93*24</f>
        <v/>
      </c>
      <c r="N93" s="3" t="n">
        <v>60</v>
      </c>
      <c r="O93" s="6">
        <f>N93/60</f>
        <v/>
      </c>
      <c r="P93" s="6">
        <f>M93-O93</f>
        <v/>
      </c>
      <c r="Q93" s="6">
        <f>SUMIFS($P:$P,$A:$A,A93,$G:$G,G93)</f>
        <v/>
      </c>
      <c r="R93" s="5" t="n">
        <v>0.5</v>
      </c>
      <c r="S93" s="5" t="n">
        <v>0.7604166666666666</v>
      </c>
      <c r="T93" s="5" t="n">
        <v>0.6354166666666666</v>
      </c>
      <c r="U93" s="5" t="n">
        <v>0.6770833333333334</v>
      </c>
      <c r="V93" s="3">
        <f>IF(COUNT(T93:U93)=2,ROUND((U93-T93)*1440,0),0)</f>
        <v/>
      </c>
    </row>
    <row r="94">
      <c r="A94" s="2" t="inlineStr">
        <is>
          <t>14444444-2</t>
        </is>
      </c>
      <c r="B94" s="3" t="inlineStr">
        <is>
          <t>Activo</t>
        </is>
      </c>
      <c r="C94" s="3" t="inlineStr">
        <is>
          <t>DIEGO ROJAS (EJEMPLO)</t>
        </is>
      </c>
      <c r="D94" s="3" t="inlineStr">
        <is>
          <t>EXAMEN Y PROCEDIMIENTOS</t>
        </is>
      </c>
      <c r="E94" s="4" t="n">
        <v>46309</v>
      </c>
      <c r="F94" s="3" t="inlineStr">
        <is>
          <t>Miércoles</t>
        </is>
      </c>
      <c r="G94" s="4" t="n">
        <v>46307</v>
      </c>
      <c r="H94" s="3" t="inlineStr">
        <is>
          <t>Intermedio S/sábado</t>
        </is>
      </c>
      <c r="I94" s="3" t="inlineStr">
        <is>
          <t>TRABAJA</t>
        </is>
      </c>
      <c r="J94" s="5" t="n">
        <v>0.375</v>
      </c>
      <c r="K94" s="5" t="n">
        <v>0.75</v>
      </c>
      <c r="L94" s="5">
        <f>IF(COUNT(J94:K94)=2,K94-J94,0)</f>
        <v/>
      </c>
      <c r="M94" s="6">
        <f>L94*24</f>
        <v/>
      </c>
      <c r="N94" s="3" t="n">
        <v>60</v>
      </c>
      <c r="O94" s="6">
        <f>N94/60</f>
        <v/>
      </c>
      <c r="P94" s="6">
        <f>M94-O94</f>
        <v/>
      </c>
      <c r="Q94" s="6">
        <f>SUMIFS($P:$P,$A:$A,A94,$G:$G,G94)</f>
        <v/>
      </c>
      <c r="R94" s="5" t="n">
        <v>0.4583333333333333</v>
      </c>
      <c r="S94" s="5" t="n">
        <v>0.7083333333333334</v>
      </c>
      <c r="T94" s="5" t="n">
        <v>0.5416666666666666</v>
      </c>
      <c r="U94" s="5" t="n">
        <v>0.5833333333333334</v>
      </c>
      <c r="V94" s="3">
        <f>IF(COUNT(T94:U94)=2,ROUND((U94-T94)*1440,0),0)</f>
        <v/>
      </c>
    </row>
    <row r="95">
      <c r="A95" s="2" t="inlineStr">
        <is>
          <t>14444444-2</t>
        </is>
      </c>
      <c r="B95" s="3" t="inlineStr">
        <is>
          <t>Activo</t>
        </is>
      </c>
      <c r="C95" s="3" t="inlineStr">
        <is>
          <t>DIEGO ROJAS (EJEMPLO)</t>
        </is>
      </c>
      <c r="D95" s="3" t="inlineStr">
        <is>
          <t>EXAMEN Y PROCEDIMIENTOS</t>
        </is>
      </c>
      <c r="E95" s="4" t="n">
        <v>46310</v>
      </c>
      <c r="F95" s="3" t="inlineStr">
        <is>
          <t>Jueves</t>
        </is>
      </c>
      <c r="G95" s="4" t="n">
        <v>46307</v>
      </c>
      <c r="H95" s="3" t="inlineStr">
        <is>
          <t>Intermedio S/sábado</t>
        </is>
      </c>
      <c r="I95" s="3" t="inlineStr">
        <is>
          <t>TRABAJA</t>
        </is>
      </c>
      <c r="J95" s="5" t="n">
        <v>0.375</v>
      </c>
      <c r="K95" s="5" t="n">
        <v>0.75</v>
      </c>
      <c r="L95" s="5">
        <f>IF(COUNT(J95:K95)=2,K95-J95,0)</f>
        <v/>
      </c>
      <c r="M95" s="6">
        <f>L95*24</f>
        <v/>
      </c>
      <c r="N95" s="3" t="n">
        <v>60</v>
      </c>
      <c r="O95" s="6">
        <f>N95/60</f>
        <v/>
      </c>
      <c r="P95" s="6">
        <f>M95-O95</f>
        <v/>
      </c>
      <c r="Q95" s="6">
        <f>SUMIFS($P:$P,$A:$A,A95,$G:$G,G95)</f>
        <v/>
      </c>
      <c r="R95" s="5" t="n">
        <v>0.4583333333333333</v>
      </c>
      <c r="S95" s="5" t="n">
        <v>0.71875</v>
      </c>
      <c r="T95" s="5" t="n">
        <v>0.59375</v>
      </c>
      <c r="U95" s="5" t="n">
        <v>0.6354166666666666</v>
      </c>
      <c r="V95" s="3">
        <f>IF(COUNT(T95:U95)=2,ROUND((U95-T95)*1440,0),0)</f>
        <v/>
      </c>
    </row>
    <row r="96">
      <c r="A96" s="2" t="inlineStr">
        <is>
          <t>14444444-2</t>
        </is>
      </c>
      <c r="B96" s="3" t="inlineStr">
        <is>
          <t>Activo</t>
        </is>
      </c>
      <c r="C96" s="3" t="inlineStr">
        <is>
          <t>DIEGO ROJAS (EJEMPLO)</t>
        </is>
      </c>
      <c r="D96" s="3" t="inlineStr">
        <is>
          <t>EXAMEN Y PROCEDIMIENTOS</t>
        </is>
      </c>
      <c r="E96" s="4" t="n">
        <v>46311</v>
      </c>
      <c r="F96" s="3" t="inlineStr">
        <is>
          <t>Viernes</t>
        </is>
      </c>
      <c r="G96" s="4" t="n">
        <v>46307</v>
      </c>
      <c r="H96" s="3" t="inlineStr">
        <is>
          <t>Intermedio S/sábado</t>
        </is>
      </c>
      <c r="I96" s="3" t="inlineStr">
        <is>
          <t>TRABAJA</t>
        </is>
      </c>
      <c r="J96" s="5" t="n">
        <v>0.375</v>
      </c>
      <c r="K96" s="5" t="n">
        <v>0.75</v>
      </c>
      <c r="L96" s="5">
        <f>IF(COUNT(J96:K96)=2,K96-J96,0)</f>
        <v/>
      </c>
      <c r="M96" s="6">
        <f>L96*24</f>
        <v/>
      </c>
      <c r="N96" s="3" t="n">
        <v>60</v>
      </c>
      <c r="O96" s="6">
        <f>N96/60</f>
        <v/>
      </c>
      <c r="P96" s="6">
        <f>M96-O96</f>
        <v/>
      </c>
      <c r="Q96" s="6">
        <f>SUMIFS($P:$P,$A:$A,A96,$G:$G,G96)</f>
        <v/>
      </c>
      <c r="R96" s="5" t="n">
        <v>0.4583333333333333</v>
      </c>
      <c r="S96" s="5" t="n">
        <v>0.6458333333333334</v>
      </c>
      <c r="T96" s="5" t="n">
        <v>0.5104166666666666</v>
      </c>
      <c r="U96" s="5" t="n">
        <v>0.5520833333333334</v>
      </c>
      <c r="V96" s="3">
        <f>IF(COUNT(T96:U96)=2,ROUND((U96-T96)*1440,0),0)</f>
        <v/>
      </c>
    </row>
    <row r="97">
      <c r="A97" s="2" t="inlineStr">
        <is>
          <t>14444444-2</t>
        </is>
      </c>
      <c r="B97" s="3" t="inlineStr">
        <is>
          <t>Activo</t>
        </is>
      </c>
      <c r="C97" s="3" t="inlineStr">
        <is>
          <t>DIEGO ROJAS (EJEMPLO)</t>
        </is>
      </c>
      <c r="D97" s="3" t="inlineStr">
        <is>
          <t>EXAMEN Y PROCEDIMIENTOS</t>
        </is>
      </c>
      <c r="E97" s="4" t="n">
        <v>46312</v>
      </c>
      <c r="F97" s="3" t="inlineStr">
        <is>
          <t>Sábado</t>
        </is>
      </c>
      <c r="G97" s="4" t="n">
        <v>46307</v>
      </c>
      <c r="H97" s="3" t="inlineStr">
        <is>
          <t>Intermedio S/sábado</t>
        </is>
      </c>
      <c r="I97" s="3" t="inlineStr">
        <is>
          <t>LIBRE</t>
        </is>
      </c>
      <c r="J97" s="5" t="n"/>
      <c r="K97" s="5" t="n"/>
      <c r="L97" s="5">
        <f>IF(COUNT(J97:K97)=2,K97-J97,0)</f>
        <v/>
      </c>
      <c r="M97" s="6">
        <f>L97*24</f>
        <v/>
      </c>
      <c r="N97" s="3" t="n">
        <v>0</v>
      </c>
      <c r="O97" s="6">
        <f>N97/60</f>
        <v/>
      </c>
      <c r="P97" s="6">
        <f>M97-O97</f>
        <v/>
      </c>
      <c r="Q97" s="6">
        <f>SUMIFS($P:$P,$A:$A,A97,$G:$G,G97)</f>
        <v/>
      </c>
      <c r="R97" s="5" t="n"/>
      <c r="S97" s="5" t="n"/>
      <c r="T97" s="5" t="n"/>
      <c r="U97" s="5" t="n"/>
      <c r="V97" s="3">
        <f>IF(COUNT(T97:U97)=2,ROUND((U97-T97)*1440,0),0)</f>
        <v/>
      </c>
    </row>
    <row r="98">
      <c r="A98" s="2" t="inlineStr">
        <is>
          <t>14444444-2</t>
        </is>
      </c>
      <c r="B98" s="3" t="inlineStr">
        <is>
          <t>Activo</t>
        </is>
      </c>
      <c r="C98" s="3" t="inlineStr">
        <is>
          <t>DIEGO ROJAS (EJEMPLO)</t>
        </is>
      </c>
      <c r="D98" s="3" t="inlineStr">
        <is>
          <t>EXAMEN Y PROCEDIMIENTOS</t>
        </is>
      </c>
      <c r="E98" s="4" t="n">
        <v>46314</v>
      </c>
      <c r="F98" s="3" t="inlineStr">
        <is>
          <t>Lunes</t>
        </is>
      </c>
      <c r="G98" s="4" t="n">
        <v>46314</v>
      </c>
      <c r="H98" s="3" t="inlineStr">
        <is>
          <t>Mañana C/sábado</t>
        </is>
      </c>
      <c r="I98" s="3" t="inlineStr">
        <is>
          <t>TRABAJA</t>
        </is>
      </c>
      <c r="J98" s="5" t="n">
        <v>0.3333333333333333</v>
      </c>
      <c r="K98" s="5" t="n">
        <v>0.6875</v>
      </c>
      <c r="L98" s="5">
        <f>IF(COUNT(J98:K98)=2,K98-J98,0)</f>
        <v/>
      </c>
      <c r="M98" s="6">
        <f>L98*24</f>
        <v/>
      </c>
      <c r="N98" s="3" t="n">
        <v>60</v>
      </c>
      <c r="O98" s="6">
        <f>N98/60</f>
        <v/>
      </c>
      <c r="P98" s="6">
        <f>M98-O98</f>
        <v/>
      </c>
      <c r="Q98" s="6">
        <f>SUMIFS($P:$P,$A:$A,A98,$G:$G,G98)</f>
        <v/>
      </c>
      <c r="R98" s="5" t="n">
        <v>0.4270833333333333</v>
      </c>
      <c r="S98" s="5" t="n">
        <v>0.6354166666666666</v>
      </c>
      <c r="T98" s="5" t="n">
        <v>0.4791666666666667</v>
      </c>
      <c r="U98" s="5" t="n">
        <v>0.5208333333333334</v>
      </c>
      <c r="V98" s="3">
        <f>IF(COUNT(T98:U98)=2,ROUND((U98-T98)*1440,0),0)</f>
        <v/>
      </c>
    </row>
    <row r="99">
      <c r="A99" s="2" t="inlineStr">
        <is>
          <t>14444444-2</t>
        </is>
      </c>
      <c r="B99" s="3" t="inlineStr">
        <is>
          <t>Activo</t>
        </is>
      </c>
      <c r="C99" s="3" t="inlineStr">
        <is>
          <t>DIEGO ROJAS (EJEMPLO)</t>
        </is>
      </c>
      <c r="D99" s="3" t="inlineStr">
        <is>
          <t>EXAMEN Y PROCEDIMIENTOS</t>
        </is>
      </c>
      <c r="E99" s="4" t="n">
        <v>46315</v>
      </c>
      <c r="F99" s="3" t="inlineStr">
        <is>
          <t>Martes</t>
        </is>
      </c>
      <c r="G99" s="4" t="n">
        <v>46314</v>
      </c>
      <c r="H99" s="3" t="inlineStr">
        <is>
          <t>Mañana C/sábado</t>
        </is>
      </c>
      <c r="I99" s="3" t="inlineStr">
        <is>
          <t>TRABAJA</t>
        </is>
      </c>
      <c r="J99" s="5" t="n">
        <v>0.3333333333333333</v>
      </c>
      <c r="K99" s="5" t="n">
        <v>0.6875</v>
      </c>
      <c r="L99" s="5">
        <f>IF(COUNT(J99:K99)=2,K99-J99,0)</f>
        <v/>
      </c>
      <c r="M99" s="6">
        <f>L99*24</f>
        <v/>
      </c>
      <c r="N99" s="3" t="n">
        <v>60</v>
      </c>
      <c r="O99" s="6">
        <f>N99/60</f>
        <v/>
      </c>
      <c r="P99" s="6">
        <f>M99-O99</f>
        <v/>
      </c>
      <c r="Q99" s="6">
        <f>SUMIFS($P:$P,$A:$A,A99,$G:$G,G99)</f>
        <v/>
      </c>
      <c r="R99" s="5" t="n">
        <v>0.4270833333333333</v>
      </c>
      <c r="S99" s="5" t="n">
        <v>0.6354166666666666</v>
      </c>
      <c r="T99" s="5" t="n">
        <v>0.4791666666666667</v>
      </c>
      <c r="U99" s="5" t="n">
        <v>0.5208333333333334</v>
      </c>
      <c r="V99" s="3">
        <f>IF(COUNT(T99:U99)=2,ROUND((U99-T99)*1440,0),0)</f>
        <v/>
      </c>
    </row>
    <row r="100">
      <c r="A100" s="2" t="inlineStr">
        <is>
          <t>14444444-2</t>
        </is>
      </c>
      <c r="B100" s="3" t="inlineStr">
        <is>
          <t>Activo</t>
        </is>
      </c>
      <c r="C100" s="3" t="inlineStr">
        <is>
          <t>DIEGO ROJAS (EJEMPLO)</t>
        </is>
      </c>
      <c r="D100" s="3" t="inlineStr">
        <is>
          <t>EXAMEN Y PROCEDIMIENTOS</t>
        </is>
      </c>
      <c r="E100" s="4" t="n">
        <v>46316</v>
      </c>
      <c r="F100" s="3" t="inlineStr">
        <is>
          <t>Miércoles</t>
        </is>
      </c>
      <c r="G100" s="4" t="n">
        <v>46314</v>
      </c>
      <c r="H100" s="3" t="inlineStr">
        <is>
          <t>Mañana C/sábado</t>
        </is>
      </c>
      <c r="I100" s="3" t="inlineStr">
        <is>
          <t>TRABAJA</t>
        </is>
      </c>
      <c r="J100" s="5" t="n">
        <v>0.3333333333333333</v>
      </c>
      <c r="K100" s="5" t="n">
        <v>0.6875</v>
      </c>
      <c r="L100" s="5">
        <f>IF(COUNT(J100:K100)=2,K100-J100,0)</f>
        <v/>
      </c>
      <c r="M100" s="6">
        <f>L100*24</f>
        <v/>
      </c>
      <c r="N100" s="3" t="n">
        <v>60</v>
      </c>
      <c r="O100" s="6">
        <f>N100/60</f>
        <v/>
      </c>
      <c r="P100" s="6">
        <f>M100-O100</f>
        <v/>
      </c>
      <c r="Q100" s="6">
        <f>SUMIFS($P:$P,$A:$A,A100,$G:$G,G100)</f>
        <v/>
      </c>
      <c r="R100" s="5" t="n">
        <v>0.4270833333333333</v>
      </c>
      <c r="S100" s="5" t="n">
        <v>0.6145833333333334</v>
      </c>
      <c r="T100" s="5" t="n">
        <v>0.4791666666666667</v>
      </c>
      <c r="U100" s="5" t="n">
        <v>0.5208333333333334</v>
      </c>
      <c r="V100" s="3">
        <f>IF(COUNT(T100:U100)=2,ROUND((U100-T100)*1440,0),0)</f>
        <v/>
      </c>
    </row>
    <row r="101">
      <c r="A101" s="2" t="inlineStr">
        <is>
          <t>14444444-2</t>
        </is>
      </c>
      <c r="B101" s="3" t="inlineStr">
        <is>
          <t>Activo</t>
        </is>
      </c>
      <c r="C101" s="3" t="inlineStr">
        <is>
          <t>DIEGO ROJAS (EJEMPLO)</t>
        </is>
      </c>
      <c r="D101" s="3" t="inlineStr">
        <is>
          <t>EXAMEN Y PROCEDIMIENTOS</t>
        </is>
      </c>
      <c r="E101" s="4" t="n">
        <v>46317</v>
      </c>
      <c r="F101" s="3" t="inlineStr">
        <is>
          <t>Jueves</t>
        </is>
      </c>
      <c r="G101" s="4" t="n">
        <v>46314</v>
      </c>
      <c r="H101" s="3" t="inlineStr">
        <is>
          <t>Mañana C/sábado</t>
        </is>
      </c>
      <c r="I101" s="3" t="inlineStr">
        <is>
          <t>TRABAJA</t>
        </is>
      </c>
      <c r="J101" s="5" t="n">
        <v>0.3333333333333333</v>
      </c>
      <c r="K101" s="5" t="n">
        <v>0.6666666666666666</v>
      </c>
      <c r="L101" s="5">
        <f>IF(COUNT(J101:K101)=2,K101-J101,0)</f>
        <v/>
      </c>
      <c r="M101" s="6">
        <f>L101*24</f>
        <v/>
      </c>
      <c r="N101" s="3" t="n">
        <v>60</v>
      </c>
      <c r="O101" s="6">
        <f>N101/60</f>
        <v/>
      </c>
      <c r="P101" s="6">
        <f>M101-O101</f>
        <v/>
      </c>
      <c r="Q101" s="6">
        <f>SUMIFS($P:$P,$A:$A,A101,$G:$G,G101)</f>
        <v/>
      </c>
      <c r="R101" s="5" t="n">
        <v>0.4270833333333333</v>
      </c>
      <c r="S101" s="5" t="n">
        <v>0.6354166666666666</v>
      </c>
      <c r="T101" s="5" t="n">
        <v>0.5</v>
      </c>
      <c r="U101" s="5" t="n">
        <v>0.5416666666666666</v>
      </c>
      <c r="V101" s="3">
        <f>IF(COUNT(T101:U101)=2,ROUND((U101-T101)*1440,0),0)</f>
        <v/>
      </c>
    </row>
    <row r="102">
      <c r="A102" s="2" t="inlineStr">
        <is>
          <t>14444444-2</t>
        </is>
      </c>
      <c r="B102" s="3" t="inlineStr">
        <is>
          <t>Activo</t>
        </is>
      </c>
      <c r="C102" s="3" t="inlineStr">
        <is>
          <t>DIEGO ROJAS (EJEMPLO)</t>
        </is>
      </c>
      <c r="D102" s="3" t="inlineStr">
        <is>
          <t>EXAMEN Y PROCEDIMIENTOS</t>
        </is>
      </c>
      <c r="E102" s="4" t="n">
        <v>46318</v>
      </c>
      <c r="F102" s="3" t="inlineStr">
        <is>
          <t>Viernes</t>
        </is>
      </c>
      <c r="G102" s="4" t="n">
        <v>46314</v>
      </c>
      <c r="H102" s="3" t="inlineStr">
        <is>
          <t>Mañana C/sábado</t>
        </is>
      </c>
      <c r="I102" s="3" t="inlineStr">
        <is>
          <t>TRABAJA</t>
        </is>
      </c>
      <c r="J102" s="5" t="n">
        <v>0.3333333333333333</v>
      </c>
      <c r="K102" s="5" t="n">
        <v>0.6666666666666666</v>
      </c>
      <c r="L102" s="5">
        <f>IF(COUNT(J102:K102)=2,K102-J102,0)</f>
        <v/>
      </c>
      <c r="M102" s="6">
        <f>L102*24</f>
        <v/>
      </c>
      <c r="N102" s="3" t="n">
        <v>60</v>
      </c>
      <c r="O102" s="6">
        <f>N102/60</f>
        <v/>
      </c>
      <c r="P102" s="6">
        <f>M102-O102</f>
        <v/>
      </c>
      <c r="Q102" s="6">
        <f>SUMIFS($P:$P,$A:$A,A102,$G:$G,G102)</f>
        <v/>
      </c>
      <c r="R102" s="5" t="n">
        <v>0.4270833333333333</v>
      </c>
      <c r="S102" s="5" t="n">
        <v>0.6354166666666666</v>
      </c>
      <c r="T102" s="5" t="n">
        <v>0.5</v>
      </c>
      <c r="U102" s="5" t="n">
        <v>0.5416666666666666</v>
      </c>
      <c r="V102" s="3">
        <f>IF(COUNT(T102:U102)=2,ROUND((U102-T102)*1440,0),0)</f>
        <v/>
      </c>
    </row>
    <row r="103">
      <c r="A103" s="2" t="inlineStr">
        <is>
          <t>14444444-2</t>
        </is>
      </c>
      <c r="B103" s="3" t="inlineStr">
        <is>
          <t>Activo</t>
        </is>
      </c>
      <c r="C103" s="3" t="inlineStr">
        <is>
          <t>DIEGO ROJAS (EJEMPLO)</t>
        </is>
      </c>
      <c r="D103" s="3" t="inlineStr">
        <is>
          <t>EXAMEN Y PROCEDIMIENTOS</t>
        </is>
      </c>
      <c r="E103" s="4" t="n">
        <v>46319</v>
      </c>
      <c r="F103" s="3" t="inlineStr">
        <is>
          <t>Sábado</t>
        </is>
      </c>
      <c r="G103" s="4" t="n">
        <v>46314</v>
      </c>
      <c r="H103" s="3" t="inlineStr">
        <is>
          <t>Mañana C/sábado</t>
        </is>
      </c>
      <c r="I103" s="3" t="inlineStr">
        <is>
          <t>TRABAJA</t>
        </is>
      </c>
      <c r="J103" s="5" t="n">
        <v>0.3333333333333333</v>
      </c>
      <c r="K103" s="5" t="n">
        <v>0.5833333333333334</v>
      </c>
      <c r="L103" s="5">
        <f>IF(COUNT(J103:K103)=2,K103-J103,0)</f>
        <v/>
      </c>
      <c r="M103" s="6">
        <f>L103*24</f>
        <v/>
      </c>
      <c r="N103" s="3" t="n">
        <v>30</v>
      </c>
      <c r="O103" s="6">
        <f>N103/60</f>
        <v/>
      </c>
      <c r="P103" s="6">
        <f>M103-O103</f>
        <v/>
      </c>
      <c r="Q103" s="6">
        <f>SUMIFS($P:$P,$A:$A,A103,$G:$G,G103)</f>
        <v/>
      </c>
      <c r="R103" s="5" t="n"/>
      <c r="S103" s="5" t="n"/>
      <c r="T103" s="5" t="n">
        <v>0.4583333333333333</v>
      </c>
      <c r="U103" s="5" t="n">
        <v>0.4791666666666667</v>
      </c>
      <c r="V103" s="3">
        <f>IF(COUNT(T103:U103)=2,ROUND((U103-T103)*1440,0),0)</f>
        <v/>
      </c>
    </row>
    <row r="104">
      <c r="A104" s="2" t="inlineStr">
        <is>
          <t>14444444-2</t>
        </is>
      </c>
      <c r="B104" s="3" t="inlineStr">
        <is>
          <t>Activo</t>
        </is>
      </c>
      <c r="C104" s="3" t="inlineStr">
        <is>
          <t>DIEGO ROJAS (EJEMPLO)</t>
        </is>
      </c>
      <c r="D104" s="3" t="inlineStr">
        <is>
          <t>EXAMEN Y PROCEDIMIENTOS</t>
        </is>
      </c>
      <c r="E104" s="4" t="n">
        <v>46321</v>
      </c>
      <c r="F104" s="3" t="inlineStr">
        <is>
          <t>Lunes</t>
        </is>
      </c>
      <c r="G104" s="4" t="n">
        <v>46321</v>
      </c>
      <c r="H104" s="3" t="inlineStr">
        <is>
          <t>Intermedio S/sábado</t>
        </is>
      </c>
      <c r="I104" s="3" t="inlineStr">
        <is>
          <t>TRABAJA</t>
        </is>
      </c>
      <c r="J104" s="5" t="n">
        <v>0.375</v>
      </c>
      <c r="K104" s="5" t="n">
        <v>0.7916666666666666</v>
      </c>
      <c r="L104" s="5">
        <f>IF(COUNT(J104:K104)=2,K104-J104,0)</f>
        <v/>
      </c>
      <c r="M104" s="6">
        <f>L104*24</f>
        <v/>
      </c>
      <c r="N104" s="3" t="n">
        <v>60</v>
      </c>
      <c r="O104" s="6">
        <f>N104/60</f>
        <v/>
      </c>
      <c r="P104" s="6">
        <f>M104-O104</f>
        <v/>
      </c>
      <c r="Q104" s="6">
        <f>SUMIFS($P:$P,$A:$A,A104,$G:$G,G104)</f>
        <v/>
      </c>
      <c r="R104" s="5" t="n">
        <v>0.4583333333333333</v>
      </c>
      <c r="S104" s="5" t="n">
        <v>0.7083333333333334</v>
      </c>
      <c r="T104" s="5" t="n">
        <v>0.5833333333333334</v>
      </c>
      <c r="U104" s="5" t="n">
        <v>0.625</v>
      </c>
      <c r="V104" s="3">
        <f>IF(COUNT(T104:U104)=2,ROUND((U104-T104)*1440,0),0)</f>
        <v/>
      </c>
    </row>
    <row r="105">
      <c r="A105" s="2" t="inlineStr">
        <is>
          <t>14444444-2</t>
        </is>
      </c>
      <c r="B105" s="3" t="inlineStr">
        <is>
          <t>Activo</t>
        </is>
      </c>
      <c r="C105" s="3" t="inlineStr">
        <is>
          <t>DIEGO ROJAS (EJEMPLO)</t>
        </is>
      </c>
      <c r="D105" s="3" t="inlineStr">
        <is>
          <t>EXAMEN Y PROCEDIMIENTOS</t>
        </is>
      </c>
      <c r="E105" s="4" t="n">
        <v>46322</v>
      </c>
      <c r="F105" s="3" t="inlineStr">
        <is>
          <t>Martes</t>
        </is>
      </c>
      <c r="G105" s="4" t="n">
        <v>46321</v>
      </c>
      <c r="H105" s="3" t="inlineStr">
        <is>
          <t>Intermedio S/sábado</t>
        </is>
      </c>
      <c r="I105" s="3" t="inlineStr">
        <is>
          <t>TRABAJA</t>
        </is>
      </c>
      <c r="J105" s="5" t="n">
        <v>0.375</v>
      </c>
      <c r="K105" s="5" t="n">
        <v>0.7916666666666666</v>
      </c>
      <c r="L105" s="5">
        <f>IF(COUNT(J105:K105)=2,K105-J105,0)</f>
        <v/>
      </c>
      <c r="M105" s="6">
        <f>L105*24</f>
        <v/>
      </c>
      <c r="N105" s="3" t="n">
        <v>60</v>
      </c>
      <c r="O105" s="6">
        <f>N105/60</f>
        <v/>
      </c>
      <c r="P105" s="6">
        <f>M105-O105</f>
        <v/>
      </c>
      <c r="Q105" s="6">
        <f>SUMIFS($P:$P,$A:$A,A105,$G:$G,G105)</f>
        <v/>
      </c>
      <c r="R105" s="5" t="n">
        <v>0.4583333333333333</v>
      </c>
      <c r="S105" s="5" t="n">
        <v>0.7083333333333334</v>
      </c>
      <c r="T105" s="5" t="n">
        <v>0.5833333333333334</v>
      </c>
      <c r="U105" s="5" t="n">
        <v>0.625</v>
      </c>
      <c r="V105" s="3">
        <f>IF(COUNT(T105:U105)=2,ROUND((U105-T105)*1440,0),0)</f>
        <v/>
      </c>
    </row>
    <row r="106">
      <c r="A106" s="2" t="inlineStr">
        <is>
          <t>14444444-2</t>
        </is>
      </c>
      <c r="B106" s="3" t="inlineStr">
        <is>
          <t>Activo</t>
        </is>
      </c>
      <c r="C106" s="3" t="inlineStr">
        <is>
          <t>DIEGO ROJAS (EJEMPLO)</t>
        </is>
      </c>
      <c r="D106" s="3" t="inlineStr">
        <is>
          <t>EXAMEN Y PROCEDIMIENTOS</t>
        </is>
      </c>
      <c r="E106" s="4" t="n">
        <v>46323</v>
      </c>
      <c r="F106" s="3" t="inlineStr">
        <is>
          <t>Miércoles</t>
        </is>
      </c>
      <c r="G106" s="4" t="n">
        <v>46321</v>
      </c>
      <c r="H106" s="3" t="inlineStr">
        <is>
          <t>Intermedio S/sábado</t>
        </is>
      </c>
      <c r="I106" s="3" t="inlineStr">
        <is>
          <t>TRABAJA</t>
        </is>
      </c>
      <c r="J106" s="5" t="n">
        <v>0.375</v>
      </c>
      <c r="K106" s="5" t="n">
        <v>0.75</v>
      </c>
      <c r="L106" s="5">
        <f>IF(COUNT(J106:K106)=2,K106-J106,0)</f>
        <v/>
      </c>
      <c r="M106" s="6">
        <f>L106*24</f>
        <v/>
      </c>
      <c r="N106" s="3" t="n">
        <v>60</v>
      </c>
      <c r="O106" s="6">
        <f>N106/60</f>
        <v/>
      </c>
      <c r="P106" s="6">
        <f>M106-O106</f>
        <v/>
      </c>
      <c r="Q106" s="6">
        <f>SUMIFS($P:$P,$A:$A,A106,$G:$G,G106)</f>
        <v/>
      </c>
      <c r="R106" s="5" t="n">
        <v>0.4583333333333333</v>
      </c>
      <c r="S106" s="5" t="n">
        <v>0.6666666666666666</v>
      </c>
      <c r="T106" s="5" t="n">
        <v>0.5104166666666666</v>
      </c>
      <c r="U106" s="5" t="n">
        <v>0.5520833333333334</v>
      </c>
      <c r="V106" s="3">
        <f>IF(COUNT(T106:U106)=2,ROUND((U106-T106)*1440,0),0)</f>
        <v/>
      </c>
    </row>
    <row r="107">
      <c r="A107" s="2" t="inlineStr">
        <is>
          <t>14444444-2</t>
        </is>
      </c>
      <c r="B107" s="3" t="inlineStr">
        <is>
          <t>Activo</t>
        </is>
      </c>
      <c r="C107" s="3" t="inlineStr">
        <is>
          <t>DIEGO ROJAS (EJEMPLO)</t>
        </is>
      </c>
      <c r="D107" s="3" t="inlineStr">
        <is>
          <t>EXAMEN Y PROCEDIMIENTOS</t>
        </is>
      </c>
      <c r="E107" s="4" t="n">
        <v>46324</v>
      </c>
      <c r="F107" s="3" t="inlineStr">
        <is>
          <t>Jueves</t>
        </is>
      </c>
      <c r="G107" s="4" t="n">
        <v>46321</v>
      </c>
      <c r="H107" s="3" t="inlineStr">
        <is>
          <t>Intermedio S/sábado</t>
        </is>
      </c>
      <c r="I107" s="3" t="inlineStr">
        <is>
          <t>TRABAJA</t>
        </is>
      </c>
      <c r="J107" s="5" t="n">
        <v>0.375</v>
      </c>
      <c r="K107" s="5" t="n">
        <v>0.75</v>
      </c>
      <c r="L107" s="5">
        <f>IF(COUNT(J107:K107)=2,K107-J107,0)</f>
        <v/>
      </c>
      <c r="M107" s="6">
        <f>L107*24</f>
        <v/>
      </c>
      <c r="N107" s="3" t="n">
        <v>60</v>
      </c>
      <c r="O107" s="6">
        <f>N107/60</f>
        <v/>
      </c>
      <c r="P107" s="6">
        <f>M107-O107</f>
        <v/>
      </c>
      <c r="Q107" s="6">
        <f>SUMIFS($P:$P,$A:$A,A107,$G:$G,G107)</f>
        <v/>
      </c>
      <c r="R107" s="5" t="n">
        <v>0.4583333333333333</v>
      </c>
      <c r="S107" s="5" t="n">
        <v>0.6770833333333334</v>
      </c>
      <c r="T107" s="5" t="n">
        <v>0.5520833333333334</v>
      </c>
      <c r="U107" s="5" t="n">
        <v>0.59375</v>
      </c>
      <c r="V107" s="3">
        <f>IF(COUNT(T107:U107)=2,ROUND((U107-T107)*1440,0),0)</f>
        <v/>
      </c>
    </row>
    <row r="108">
      <c r="A108" s="2" t="inlineStr">
        <is>
          <t>14444444-2</t>
        </is>
      </c>
      <c r="B108" s="3" t="inlineStr">
        <is>
          <t>Activo</t>
        </is>
      </c>
      <c r="C108" s="3" t="inlineStr">
        <is>
          <t>DIEGO ROJAS (EJEMPLO)</t>
        </is>
      </c>
      <c r="D108" s="3" t="inlineStr">
        <is>
          <t>EXAMEN Y PROCEDIMIENTOS</t>
        </is>
      </c>
      <c r="E108" s="4" t="n">
        <v>46325</v>
      </c>
      <c r="F108" s="3" t="inlineStr">
        <is>
          <t>Viernes</t>
        </is>
      </c>
      <c r="G108" s="4" t="n">
        <v>46321</v>
      </c>
      <c r="H108" s="3" t="inlineStr">
        <is>
          <t>Intermedio S/sábado</t>
        </is>
      </c>
      <c r="I108" s="3" t="inlineStr">
        <is>
          <t>TRABAJA</t>
        </is>
      </c>
      <c r="J108" s="5" t="n">
        <v>0.375</v>
      </c>
      <c r="K108" s="5" t="n">
        <v>0.75</v>
      </c>
      <c r="L108" s="5">
        <f>IF(COUNT(J108:K108)=2,K108-J108,0)</f>
        <v/>
      </c>
      <c r="M108" s="6">
        <f>L108*24</f>
        <v/>
      </c>
      <c r="N108" s="3" t="n">
        <v>60</v>
      </c>
      <c r="O108" s="6">
        <f>N108/60</f>
        <v/>
      </c>
      <c r="P108" s="6">
        <f>M108-O108</f>
        <v/>
      </c>
      <c r="Q108" s="6">
        <f>SUMIFS($P:$P,$A:$A,A108,$G:$G,G108)</f>
        <v/>
      </c>
      <c r="R108" s="5" t="n">
        <v>0.4583333333333333</v>
      </c>
      <c r="S108" s="5" t="n">
        <v>0.6875</v>
      </c>
      <c r="T108" s="5" t="n">
        <v>0.5625</v>
      </c>
      <c r="U108" s="5" t="n">
        <v>0.6041666666666666</v>
      </c>
      <c r="V108" s="3">
        <f>IF(COUNT(T108:U108)=2,ROUND((U108-T108)*1440,0),0)</f>
        <v/>
      </c>
    </row>
    <row r="109">
      <c r="A109" s="2" t="inlineStr">
        <is>
          <t>14444444-2</t>
        </is>
      </c>
      <c r="B109" s="3" t="inlineStr">
        <is>
          <t>Activo</t>
        </is>
      </c>
      <c r="C109" s="3" t="inlineStr">
        <is>
          <t>DIEGO ROJAS (EJEMPLO)</t>
        </is>
      </c>
      <c r="D109" s="3" t="inlineStr">
        <is>
          <t>EXAMEN Y PROCEDIMIENTOS</t>
        </is>
      </c>
      <c r="E109" s="4" t="n">
        <v>46326</v>
      </c>
      <c r="F109" s="3" t="inlineStr">
        <is>
          <t>Sábado</t>
        </is>
      </c>
      <c r="G109" s="4" t="n">
        <v>46321</v>
      </c>
      <c r="H109" s="3" t="inlineStr">
        <is>
          <t>Intermedio S/sábado</t>
        </is>
      </c>
      <c r="I109" s="3" t="inlineStr">
        <is>
          <t>FERIADO</t>
        </is>
      </c>
      <c r="J109" s="5" t="n"/>
      <c r="K109" s="5" t="n"/>
      <c r="L109" s="5">
        <f>IF(COUNT(J109:K109)=2,K109-J109,0)</f>
        <v/>
      </c>
      <c r="M109" s="6">
        <f>L109*24</f>
        <v/>
      </c>
      <c r="N109" s="3" t="n">
        <v>0</v>
      </c>
      <c r="O109" s="6">
        <f>N109/60</f>
        <v/>
      </c>
      <c r="P109" s="6">
        <f>M109-O109</f>
        <v/>
      </c>
      <c r="Q109" s="6">
        <f>SUMIFS($P:$P,$A:$A,A109,$G:$G,G109)</f>
        <v/>
      </c>
      <c r="R109" s="5" t="n"/>
      <c r="S109" s="5" t="n"/>
      <c r="T109" s="5" t="n"/>
      <c r="U109" s="5" t="n"/>
      <c r="V109" s="3">
        <f>IF(COUNT(T109:U109)=2,ROUND((U109-T109)*1440,0),0)</f>
        <v/>
      </c>
    </row>
    <row r="110">
      <c r="A110" s="2" t="inlineStr">
        <is>
          <t>15555555-6</t>
        </is>
      </c>
      <c r="B110" s="3" t="inlineStr">
        <is>
          <t>Activo</t>
        </is>
      </c>
      <c r="C110" s="3" t="inlineStr">
        <is>
          <t>ELENA MUÑOZ (EJEMPLO)</t>
        </is>
      </c>
      <c r="D110" s="3" t="inlineStr">
        <is>
          <t>EXAMEN Y PROCEDIMIENTOS</t>
        </is>
      </c>
      <c r="E110" s="4" t="n">
        <v>46296</v>
      </c>
      <c r="F110" s="3" t="inlineStr">
        <is>
          <t>Jueves</t>
        </is>
      </c>
      <c r="G110" s="4" t="n">
        <v>46293</v>
      </c>
      <c r="H110" s="3" t="inlineStr">
        <is>
          <t>Mañana S/sábado</t>
        </is>
      </c>
      <c r="I110" s="3" t="inlineStr">
        <is>
          <t>TRABAJA</t>
        </is>
      </c>
      <c r="J110" s="5" t="n">
        <v>0.3333333333333333</v>
      </c>
      <c r="K110" s="5" t="n">
        <v>0.7291666666666666</v>
      </c>
      <c r="L110" s="5">
        <f>IF(COUNT(J110:K110)=2,K110-J110,0)</f>
        <v/>
      </c>
      <c r="M110" s="6">
        <f>L110*24</f>
        <v/>
      </c>
      <c r="N110" s="3" t="n">
        <v>60</v>
      </c>
      <c r="O110" s="6">
        <f>N110/60</f>
        <v/>
      </c>
      <c r="P110" s="6">
        <f>M110-O110</f>
        <v/>
      </c>
      <c r="Q110" s="6">
        <f>SUMIFS($P:$P,$A:$A,A110,$G:$G,G110)</f>
        <v/>
      </c>
      <c r="R110" s="5" t="n">
        <v>0.4270833333333333</v>
      </c>
      <c r="S110" s="5" t="n">
        <v>0.6458333333333334</v>
      </c>
      <c r="T110" s="5" t="n">
        <v>0.5104166666666666</v>
      </c>
      <c r="U110" s="5" t="n">
        <v>0.5520833333333334</v>
      </c>
      <c r="V110" s="3">
        <f>IF(COUNT(T110:U110)=2,ROUND((U110-T110)*1440,0),0)</f>
        <v/>
      </c>
    </row>
    <row r="111">
      <c r="A111" s="2" t="inlineStr">
        <is>
          <t>15555555-6</t>
        </is>
      </c>
      <c r="B111" s="3" t="inlineStr">
        <is>
          <t>Activo</t>
        </is>
      </c>
      <c r="C111" s="3" t="inlineStr">
        <is>
          <t>ELENA MUÑOZ (EJEMPLO)</t>
        </is>
      </c>
      <c r="D111" s="3" t="inlineStr">
        <is>
          <t>EXAMEN Y PROCEDIMIENTOS</t>
        </is>
      </c>
      <c r="E111" s="4" t="n">
        <v>46297</v>
      </c>
      <c r="F111" s="3" t="inlineStr">
        <is>
          <t>Viernes</t>
        </is>
      </c>
      <c r="G111" s="4" t="n">
        <v>46293</v>
      </c>
      <c r="H111" s="3" t="inlineStr">
        <is>
          <t>Mañana S/sábado</t>
        </is>
      </c>
      <c r="I111" s="3" t="inlineStr">
        <is>
          <t>TRABAJA</t>
        </is>
      </c>
      <c r="J111" s="5" t="n">
        <v>0.3333333333333333</v>
      </c>
      <c r="K111" s="5" t="n">
        <v>0.7083333333333334</v>
      </c>
      <c r="L111" s="5">
        <f>IF(COUNT(J111:K111)=2,K111-J111,0)</f>
        <v/>
      </c>
      <c r="M111" s="6">
        <f>L111*24</f>
        <v/>
      </c>
      <c r="N111" s="3" t="n">
        <v>60</v>
      </c>
      <c r="O111" s="6">
        <f>N111/60</f>
        <v/>
      </c>
      <c r="P111" s="6">
        <f>M111-O111</f>
        <v/>
      </c>
      <c r="Q111" s="6">
        <f>SUMIFS($P:$P,$A:$A,A111,$G:$G,G111)</f>
        <v/>
      </c>
      <c r="R111" s="5" t="n">
        <v>0.4270833333333333</v>
      </c>
      <c r="S111" s="5" t="n">
        <v>0.6770833333333334</v>
      </c>
      <c r="T111" s="5" t="n">
        <v>0.5520833333333334</v>
      </c>
      <c r="U111" s="5" t="n">
        <v>0.59375</v>
      </c>
      <c r="V111" s="3">
        <f>IF(COUNT(T111:U111)=2,ROUND((U111-T111)*1440,0),0)</f>
        <v/>
      </c>
    </row>
    <row r="112">
      <c r="A112" s="2" t="inlineStr">
        <is>
          <t>15555555-6</t>
        </is>
      </c>
      <c r="B112" s="3" t="inlineStr">
        <is>
          <t>Activo</t>
        </is>
      </c>
      <c r="C112" s="3" t="inlineStr">
        <is>
          <t>ELENA MUÑOZ (EJEMPLO)</t>
        </is>
      </c>
      <c r="D112" s="3" t="inlineStr">
        <is>
          <t>EXAMEN Y PROCEDIMIENTOS</t>
        </is>
      </c>
      <c r="E112" s="4" t="n">
        <v>46298</v>
      </c>
      <c r="F112" s="3" t="inlineStr">
        <is>
          <t>Sábado</t>
        </is>
      </c>
      <c r="G112" s="4" t="n">
        <v>46293</v>
      </c>
      <c r="H112" s="3" t="inlineStr">
        <is>
          <t>Mañana S/sábado</t>
        </is>
      </c>
      <c r="I112" s="3" t="inlineStr">
        <is>
          <t>LIBRE</t>
        </is>
      </c>
      <c r="J112" s="5" t="n"/>
      <c r="K112" s="5" t="n"/>
      <c r="L112" s="5">
        <f>IF(COUNT(J112:K112)=2,K112-J112,0)</f>
        <v/>
      </c>
      <c r="M112" s="6">
        <f>L112*24</f>
        <v/>
      </c>
      <c r="N112" s="3" t="n">
        <v>0</v>
      </c>
      <c r="O112" s="6">
        <f>N112/60</f>
        <v/>
      </c>
      <c r="P112" s="6">
        <f>M112-O112</f>
        <v/>
      </c>
      <c r="Q112" s="6">
        <f>SUMIFS($P:$P,$A:$A,A112,$G:$G,G112)</f>
        <v/>
      </c>
      <c r="R112" s="5" t="n"/>
      <c r="S112" s="5" t="n"/>
      <c r="T112" s="5" t="n"/>
      <c r="U112" s="5" t="n"/>
      <c r="V112" s="3">
        <f>IF(COUNT(T112:U112)=2,ROUND((U112-T112)*1440,0),0)</f>
        <v/>
      </c>
    </row>
    <row r="113">
      <c r="A113" s="2" t="inlineStr">
        <is>
          <t>15555555-6</t>
        </is>
      </c>
      <c r="B113" s="3" t="inlineStr">
        <is>
          <t>Activo</t>
        </is>
      </c>
      <c r="C113" s="3" t="inlineStr">
        <is>
          <t>ELENA MUÑOZ (EJEMPLO)</t>
        </is>
      </c>
      <c r="D113" s="3" t="inlineStr">
        <is>
          <t>EXAMEN Y PROCEDIMIENTOS</t>
        </is>
      </c>
      <c r="E113" s="4" t="n">
        <v>46300</v>
      </c>
      <c r="F113" s="3" t="inlineStr">
        <is>
          <t>Lunes</t>
        </is>
      </c>
      <c r="G113" s="4" t="n">
        <v>46300</v>
      </c>
      <c r="H113" s="3" t="inlineStr">
        <is>
          <t>Tarde S/sábado</t>
        </is>
      </c>
      <c r="I113" s="3" t="inlineStr">
        <is>
          <t>TRABAJA</t>
        </is>
      </c>
      <c r="J113" s="5" t="n">
        <v>0.4375</v>
      </c>
      <c r="K113" s="5" t="n">
        <v>0.8333333333333334</v>
      </c>
      <c r="L113" s="5">
        <f>IF(COUNT(J113:K113)=2,K113-J113,0)</f>
        <v/>
      </c>
      <c r="M113" s="6">
        <f>L113*24</f>
        <v/>
      </c>
      <c r="N113" s="3" t="n">
        <v>60</v>
      </c>
      <c r="O113" s="6">
        <f>N113/60</f>
        <v/>
      </c>
      <c r="P113" s="6">
        <f>M113-O113</f>
        <v/>
      </c>
      <c r="Q113" s="6">
        <f>SUMIFS($P:$P,$A:$A,A113,$G:$G,G113)</f>
        <v/>
      </c>
      <c r="R113" s="5" t="n">
        <v>0.5208333333333334</v>
      </c>
      <c r="S113" s="5" t="n">
        <v>0.7395833333333334</v>
      </c>
      <c r="T113" s="5" t="n">
        <v>0.6145833333333334</v>
      </c>
      <c r="U113" s="5" t="n">
        <v>0.65625</v>
      </c>
      <c r="V113" s="3">
        <f>IF(COUNT(T113:U113)=2,ROUND((U113-T113)*1440,0),0)</f>
        <v/>
      </c>
    </row>
    <row r="114">
      <c r="A114" s="2" t="inlineStr">
        <is>
          <t>15555555-6</t>
        </is>
      </c>
      <c r="B114" s="3" t="inlineStr">
        <is>
          <t>Activo</t>
        </is>
      </c>
      <c r="C114" s="3" t="inlineStr">
        <is>
          <t>ELENA MUÑOZ (EJEMPLO)</t>
        </is>
      </c>
      <c r="D114" s="3" t="inlineStr">
        <is>
          <t>EXAMEN Y PROCEDIMIENTOS</t>
        </is>
      </c>
      <c r="E114" s="4" t="n">
        <v>46301</v>
      </c>
      <c r="F114" s="3" t="inlineStr">
        <is>
          <t>Martes</t>
        </is>
      </c>
      <c r="G114" s="4" t="n">
        <v>46300</v>
      </c>
      <c r="H114" s="3" t="inlineStr">
        <is>
          <t>Tarde S/sábado</t>
        </is>
      </c>
      <c r="I114" s="3" t="inlineStr">
        <is>
          <t>TRABAJA</t>
        </is>
      </c>
      <c r="J114" s="5" t="n">
        <v>0.4375</v>
      </c>
      <c r="K114" s="5" t="n">
        <v>0.8333333333333334</v>
      </c>
      <c r="L114" s="5">
        <f>IF(COUNT(J114:K114)=2,K114-J114,0)</f>
        <v/>
      </c>
      <c r="M114" s="6">
        <f>L114*24</f>
        <v/>
      </c>
      <c r="N114" s="3" t="n">
        <v>60</v>
      </c>
      <c r="O114" s="6">
        <f>N114/60</f>
        <v/>
      </c>
      <c r="P114" s="6">
        <f>M114-O114</f>
        <v/>
      </c>
      <c r="Q114" s="6">
        <f>SUMIFS($P:$P,$A:$A,A114,$G:$G,G114)</f>
        <v/>
      </c>
      <c r="R114" s="5" t="n">
        <v>0.5208333333333334</v>
      </c>
      <c r="S114" s="5" t="n">
        <v>0.7395833333333334</v>
      </c>
      <c r="T114" s="5" t="n">
        <v>0.6145833333333334</v>
      </c>
      <c r="U114" s="5" t="n">
        <v>0.65625</v>
      </c>
      <c r="V114" s="3">
        <f>IF(COUNT(T114:U114)=2,ROUND((U114-T114)*1440,0),0)</f>
        <v/>
      </c>
    </row>
    <row r="115">
      <c r="A115" s="2" t="inlineStr">
        <is>
          <t>15555555-6</t>
        </is>
      </c>
      <c r="B115" s="3" t="inlineStr">
        <is>
          <t>Activo</t>
        </is>
      </c>
      <c r="C115" s="3" t="inlineStr">
        <is>
          <t>ELENA MUÑOZ (EJEMPLO)</t>
        </is>
      </c>
      <c r="D115" s="3" t="inlineStr">
        <is>
          <t>EXAMEN Y PROCEDIMIENTOS</t>
        </is>
      </c>
      <c r="E115" s="4" t="n">
        <v>46302</v>
      </c>
      <c r="F115" s="3" t="inlineStr">
        <is>
          <t>Miércoles</t>
        </is>
      </c>
      <c r="G115" s="4" t="n">
        <v>46300</v>
      </c>
      <c r="H115" s="3" t="inlineStr">
        <is>
          <t>Tarde S/sábado</t>
        </is>
      </c>
      <c r="I115" s="3" t="inlineStr">
        <is>
          <t>TRABAJA</t>
        </is>
      </c>
      <c r="J115" s="5" t="n">
        <v>0.4375</v>
      </c>
      <c r="K115" s="5" t="n">
        <v>0.8333333333333334</v>
      </c>
      <c r="L115" s="5">
        <f>IF(COUNT(J115:K115)=2,K115-J115,0)</f>
        <v/>
      </c>
      <c r="M115" s="6">
        <f>L115*24</f>
        <v/>
      </c>
      <c r="N115" s="3" t="n">
        <v>60</v>
      </c>
      <c r="O115" s="6">
        <f>N115/60</f>
        <v/>
      </c>
      <c r="P115" s="6">
        <f>M115-O115</f>
        <v/>
      </c>
      <c r="Q115" s="6">
        <f>SUMIFS($P:$P,$A:$A,A115,$G:$G,G115)</f>
        <v/>
      </c>
      <c r="R115" s="5" t="n">
        <v>0.53125</v>
      </c>
      <c r="S115" s="5" t="n">
        <v>0.8020833333333334</v>
      </c>
      <c r="T115" s="5" t="n">
        <v>0.6666666666666666</v>
      </c>
      <c r="U115" s="5" t="n">
        <v>0.7083333333333334</v>
      </c>
      <c r="V115" s="3">
        <f>IF(COUNT(T115:U115)=2,ROUND((U115-T115)*1440,0),0)</f>
        <v/>
      </c>
    </row>
    <row r="116">
      <c r="A116" s="2" t="inlineStr">
        <is>
          <t>15555555-6</t>
        </is>
      </c>
      <c r="B116" s="3" t="inlineStr">
        <is>
          <t>Activo</t>
        </is>
      </c>
      <c r="C116" s="3" t="inlineStr">
        <is>
          <t>ELENA MUÑOZ (EJEMPLO)</t>
        </is>
      </c>
      <c r="D116" s="3" t="inlineStr">
        <is>
          <t>EXAMEN Y PROCEDIMIENTOS</t>
        </is>
      </c>
      <c r="E116" s="4" t="n">
        <v>46303</v>
      </c>
      <c r="F116" s="3" t="inlineStr">
        <is>
          <t>Jueves</t>
        </is>
      </c>
      <c r="G116" s="4" t="n">
        <v>46300</v>
      </c>
      <c r="H116" s="3" t="inlineStr">
        <is>
          <t>Tarde S/sábado</t>
        </is>
      </c>
      <c r="I116" s="3" t="inlineStr">
        <is>
          <t>TRABAJA</t>
        </is>
      </c>
      <c r="J116" s="5" t="n">
        <v>0.4375</v>
      </c>
      <c r="K116" s="5" t="n">
        <v>0.8333333333333334</v>
      </c>
      <c r="L116" s="5">
        <f>IF(COUNT(J116:K116)=2,K116-J116,0)</f>
        <v/>
      </c>
      <c r="M116" s="6">
        <f>L116*24</f>
        <v/>
      </c>
      <c r="N116" s="3" t="n">
        <v>60</v>
      </c>
      <c r="O116" s="6">
        <f>N116/60</f>
        <v/>
      </c>
      <c r="P116" s="6">
        <f>M116-O116</f>
        <v/>
      </c>
      <c r="Q116" s="6">
        <f>SUMIFS($P:$P,$A:$A,A116,$G:$G,G116)</f>
        <v/>
      </c>
      <c r="R116" s="5" t="n">
        <v>0.5625</v>
      </c>
      <c r="S116" s="5" t="n">
        <v>0.8020833333333334</v>
      </c>
      <c r="T116" s="5" t="n">
        <v>0.6770833333333334</v>
      </c>
      <c r="U116" s="5" t="n">
        <v>0.71875</v>
      </c>
      <c r="V116" s="3">
        <f>IF(COUNT(T116:U116)=2,ROUND((U116-T116)*1440,0),0)</f>
        <v/>
      </c>
    </row>
    <row r="117">
      <c r="A117" s="2" t="inlineStr">
        <is>
          <t>15555555-6</t>
        </is>
      </c>
      <c r="B117" s="3" t="inlineStr">
        <is>
          <t>Activo</t>
        </is>
      </c>
      <c r="C117" s="3" t="inlineStr">
        <is>
          <t>ELENA MUÑOZ (EJEMPLO)</t>
        </is>
      </c>
      <c r="D117" s="3" t="inlineStr">
        <is>
          <t>EXAMEN Y PROCEDIMIENTOS</t>
        </is>
      </c>
      <c r="E117" s="4" t="n">
        <v>46304</v>
      </c>
      <c r="F117" s="3" t="inlineStr">
        <is>
          <t>Viernes</t>
        </is>
      </c>
      <c r="G117" s="4" t="n">
        <v>46300</v>
      </c>
      <c r="H117" s="3" t="inlineStr">
        <is>
          <t>Tarde S/sábado</t>
        </is>
      </c>
      <c r="I117" s="3" t="inlineStr">
        <is>
          <t>TRABAJA</t>
        </is>
      </c>
      <c r="J117" s="5" t="n">
        <v>0.4583333333333333</v>
      </c>
      <c r="K117" s="5" t="n">
        <v>0.8333333333333334</v>
      </c>
      <c r="L117" s="5">
        <f>IF(COUNT(J117:K117)=2,K117-J117,0)</f>
        <v/>
      </c>
      <c r="M117" s="6">
        <f>L117*24</f>
        <v/>
      </c>
      <c r="N117" s="3" t="n">
        <v>60</v>
      </c>
      <c r="O117" s="6">
        <f>N117/60</f>
        <v/>
      </c>
      <c r="P117" s="6">
        <f>M117-O117</f>
        <v/>
      </c>
      <c r="Q117" s="6">
        <f>SUMIFS($P:$P,$A:$A,A117,$G:$G,G117)</f>
        <v/>
      </c>
      <c r="R117" s="5" t="n">
        <v>0.5520833333333334</v>
      </c>
      <c r="S117" s="5" t="n">
        <v>0.7604166666666666</v>
      </c>
      <c r="T117" s="5" t="n">
        <v>0.6354166666666666</v>
      </c>
      <c r="U117" s="5" t="n">
        <v>0.6770833333333334</v>
      </c>
      <c r="V117" s="3">
        <f>IF(COUNT(T117:U117)=2,ROUND((U117-T117)*1440,0),0)</f>
        <v/>
      </c>
    </row>
    <row r="118">
      <c r="A118" s="2" t="inlineStr">
        <is>
          <t>15555555-6</t>
        </is>
      </c>
      <c r="B118" s="3" t="inlineStr">
        <is>
          <t>Activo</t>
        </is>
      </c>
      <c r="C118" s="3" t="inlineStr">
        <is>
          <t>ELENA MUÑOZ (EJEMPLO)</t>
        </is>
      </c>
      <c r="D118" s="3" t="inlineStr">
        <is>
          <t>EXAMEN Y PROCEDIMIENTOS</t>
        </is>
      </c>
      <c r="E118" s="4" t="n">
        <v>46305</v>
      </c>
      <c r="F118" s="3" t="inlineStr">
        <is>
          <t>Sábado</t>
        </is>
      </c>
      <c r="G118" s="4" t="n">
        <v>46300</v>
      </c>
      <c r="H118" s="3" t="inlineStr">
        <is>
          <t>Tarde S/sábado</t>
        </is>
      </c>
      <c r="I118" s="3" t="inlineStr">
        <is>
          <t>LIBRE</t>
        </is>
      </c>
      <c r="J118" s="5" t="n"/>
      <c r="K118" s="5" t="n"/>
      <c r="L118" s="5">
        <f>IF(COUNT(J118:K118)=2,K118-J118,0)</f>
        <v/>
      </c>
      <c r="M118" s="6">
        <f>L118*24</f>
        <v/>
      </c>
      <c r="N118" s="3" t="n">
        <v>0</v>
      </c>
      <c r="O118" s="6">
        <f>N118/60</f>
        <v/>
      </c>
      <c r="P118" s="6">
        <f>M118-O118</f>
        <v/>
      </c>
      <c r="Q118" s="6">
        <f>SUMIFS($P:$P,$A:$A,A118,$G:$G,G118)</f>
        <v/>
      </c>
      <c r="R118" s="5" t="n"/>
      <c r="S118" s="5" t="n"/>
      <c r="T118" s="5" t="n"/>
      <c r="U118" s="5" t="n"/>
      <c r="V118" s="3">
        <f>IF(COUNT(T118:U118)=2,ROUND((U118-T118)*1440,0),0)</f>
        <v/>
      </c>
    </row>
    <row r="119">
      <c r="A119" s="2" t="inlineStr">
        <is>
          <t>15555555-6</t>
        </is>
      </c>
      <c r="B119" s="3" t="inlineStr">
        <is>
          <t>Activo</t>
        </is>
      </c>
      <c r="C119" s="3" t="inlineStr">
        <is>
          <t>ELENA MUÑOZ (EJEMPLO)</t>
        </is>
      </c>
      <c r="D119" s="3" t="inlineStr">
        <is>
          <t>EXAMEN Y PROCEDIMIENTOS</t>
        </is>
      </c>
      <c r="E119" s="4" t="n">
        <v>46307</v>
      </c>
      <c r="F119" s="3" t="inlineStr">
        <is>
          <t>Lunes</t>
        </is>
      </c>
      <c r="G119" s="4" t="n">
        <v>46307</v>
      </c>
      <c r="H119" s="3" t="inlineStr">
        <is>
          <t>Mañana C/sábado</t>
        </is>
      </c>
      <c r="I119" s="3" t="inlineStr">
        <is>
          <t>FERIADO</t>
        </is>
      </c>
      <c r="J119" s="5" t="n"/>
      <c r="K119" s="5" t="n"/>
      <c r="L119" s="5">
        <f>IF(COUNT(J119:K119)=2,K119-J119,0)</f>
        <v/>
      </c>
      <c r="M119" s="6">
        <f>L119*24</f>
        <v/>
      </c>
      <c r="N119" s="3" t="n">
        <v>0</v>
      </c>
      <c r="O119" s="6">
        <f>N119/60</f>
        <v/>
      </c>
      <c r="P119" s="6">
        <f>M119-O119</f>
        <v/>
      </c>
      <c r="Q119" s="6">
        <f>SUMIFS($P:$P,$A:$A,A119,$G:$G,G119)</f>
        <v/>
      </c>
      <c r="R119" s="5" t="n"/>
      <c r="S119" s="5" t="n"/>
      <c r="T119" s="5" t="n"/>
      <c r="U119" s="5" t="n"/>
      <c r="V119" s="3">
        <f>IF(COUNT(T119:U119)=2,ROUND((U119-T119)*1440,0),0)</f>
        <v/>
      </c>
    </row>
    <row r="120">
      <c r="A120" s="2" t="inlineStr">
        <is>
          <t>15555555-6</t>
        </is>
      </c>
      <c r="B120" s="3" t="inlineStr">
        <is>
          <t>Activo</t>
        </is>
      </c>
      <c r="C120" s="3" t="inlineStr">
        <is>
          <t>ELENA MUÑOZ (EJEMPLO)</t>
        </is>
      </c>
      <c r="D120" s="3" t="inlineStr">
        <is>
          <t>EXAMEN Y PROCEDIMIENTOS</t>
        </is>
      </c>
      <c r="E120" s="4" t="n">
        <v>46308</v>
      </c>
      <c r="F120" s="3" t="inlineStr">
        <is>
          <t>Martes</t>
        </is>
      </c>
      <c r="G120" s="4" t="n">
        <v>46307</v>
      </c>
      <c r="H120" s="3" t="inlineStr">
        <is>
          <t>Mañana C/sábado</t>
        </is>
      </c>
      <c r="I120" s="3" t="inlineStr">
        <is>
          <t>TRABAJA</t>
        </is>
      </c>
      <c r="J120" s="5" t="n">
        <v>0.3333333333333333</v>
      </c>
      <c r="K120" s="5" t="n">
        <v>0.6875</v>
      </c>
      <c r="L120" s="5">
        <f>IF(COUNT(J120:K120)=2,K120-J120,0)</f>
        <v/>
      </c>
      <c r="M120" s="6">
        <f>L120*24</f>
        <v/>
      </c>
      <c r="N120" s="3" t="n">
        <v>60</v>
      </c>
      <c r="O120" s="6">
        <f>N120/60</f>
        <v/>
      </c>
      <c r="P120" s="6">
        <f>M120-O120</f>
        <v/>
      </c>
      <c r="Q120" s="6">
        <f>SUMIFS($P:$P,$A:$A,A120,$G:$G,G120)</f>
        <v/>
      </c>
      <c r="R120" s="5" t="n">
        <v>0.4270833333333333</v>
      </c>
      <c r="S120" s="5" t="n">
        <v>0.6041666666666666</v>
      </c>
      <c r="T120" s="5" t="n">
        <v>0.4791666666666667</v>
      </c>
      <c r="U120" s="5" t="n">
        <v>0.5208333333333334</v>
      </c>
      <c r="V120" s="3">
        <f>IF(COUNT(T120:U120)=2,ROUND((U120-T120)*1440,0),0)</f>
        <v/>
      </c>
    </row>
    <row r="121">
      <c r="A121" s="2" t="inlineStr">
        <is>
          <t>15555555-6</t>
        </is>
      </c>
      <c r="B121" s="3" t="inlineStr">
        <is>
          <t>Activo</t>
        </is>
      </c>
      <c r="C121" s="3" t="inlineStr">
        <is>
          <t>ELENA MUÑOZ (EJEMPLO)</t>
        </is>
      </c>
      <c r="D121" s="3" t="inlineStr">
        <is>
          <t>EXAMEN Y PROCEDIMIENTOS</t>
        </is>
      </c>
      <c r="E121" s="4" t="n">
        <v>46309</v>
      </c>
      <c r="F121" s="3" t="inlineStr">
        <is>
          <t>Miércoles</t>
        </is>
      </c>
      <c r="G121" s="4" t="n">
        <v>46307</v>
      </c>
      <c r="H121" s="3" t="inlineStr">
        <is>
          <t>Mañana C/sábado</t>
        </is>
      </c>
      <c r="I121" s="3" t="inlineStr">
        <is>
          <t>TRABAJA</t>
        </is>
      </c>
      <c r="J121" s="5" t="n">
        <v>0.3333333333333333</v>
      </c>
      <c r="K121" s="5" t="n">
        <v>0.6875</v>
      </c>
      <c r="L121" s="5">
        <f>IF(COUNT(J121:K121)=2,K121-J121,0)</f>
        <v/>
      </c>
      <c r="M121" s="6">
        <f>L121*24</f>
        <v/>
      </c>
      <c r="N121" s="3" t="n">
        <v>60</v>
      </c>
      <c r="O121" s="6">
        <f>N121/60</f>
        <v/>
      </c>
      <c r="P121" s="6">
        <f>M121-O121</f>
        <v/>
      </c>
      <c r="Q121" s="6">
        <f>SUMIFS($P:$P,$A:$A,A121,$G:$G,G121)</f>
        <v/>
      </c>
      <c r="R121" s="5" t="n">
        <v>0.4270833333333333</v>
      </c>
      <c r="S121" s="5" t="n">
        <v>0.6354166666666666</v>
      </c>
      <c r="T121" s="5" t="n">
        <v>0.4895833333333333</v>
      </c>
      <c r="U121" s="5" t="n">
        <v>0.53125</v>
      </c>
      <c r="V121" s="3">
        <f>IF(COUNT(T121:U121)=2,ROUND((U121-T121)*1440,0),0)</f>
        <v/>
      </c>
    </row>
    <row r="122">
      <c r="A122" s="2" t="inlineStr">
        <is>
          <t>15555555-6</t>
        </is>
      </c>
      <c r="B122" s="3" t="inlineStr">
        <is>
          <t>Activo</t>
        </is>
      </c>
      <c r="C122" s="3" t="inlineStr">
        <is>
          <t>ELENA MUÑOZ (EJEMPLO)</t>
        </is>
      </c>
      <c r="D122" s="3" t="inlineStr">
        <is>
          <t>EXAMEN Y PROCEDIMIENTOS</t>
        </is>
      </c>
      <c r="E122" s="4" t="n">
        <v>46310</v>
      </c>
      <c r="F122" s="3" t="inlineStr">
        <is>
          <t>Jueves</t>
        </is>
      </c>
      <c r="G122" s="4" t="n">
        <v>46307</v>
      </c>
      <c r="H122" s="3" t="inlineStr">
        <is>
          <t>Mañana C/sábado</t>
        </is>
      </c>
      <c r="I122" s="3" t="inlineStr">
        <is>
          <t>TRABAJA</t>
        </is>
      </c>
      <c r="J122" s="5" t="n">
        <v>0.3333333333333333</v>
      </c>
      <c r="K122" s="5" t="n">
        <v>0.6666666666666666</v>
      </c>
      <c r="L122" s="5">
        <f>IF(COUNT(J122:K122)=2,K122-J122,0)</f>
        <v/>
      </c>
      <c r="M122" s="6">
        <f>L122*24</f>
        <v/>
      </c>
      <c r="N122" s="3" t="n">
        <v>60</v>
      </c>
      <c r="O122" s="6">
        <f>N122/60</f>
        <v/>
      </c>
      <c r="P122" s="6">
        <f>M122-O122</f>
        <v/>
      </c>
      <c r="Q122" s="6">
        <f>SUMIFS($P:$P,$A:$A,A122,$G:$G,G122)</f>
        <v/>
      </c>
      <c r="R122" s="5" t="n">
        <v>0.4270833333333333</v>
      </c>
      <c r="S122" s="5" t="n">
        <v>0.6354166666666666</v>
      </c>
      <c r="T122" s="5" t="n">
        <v>0.5104166666666666</v>
      </c>
      <c r="U122" s="5" t="n">
        <v>0.5520833333333334</v>
      </c>
      <c r="V122" s="3">
        <f>IF(COUNT(T122:U122)=2,ROUND((U122-T122)*1440,0),0)</f>
        <v/>
      </c>
    </row>
    <row r="123">
      <c r="A123" s="2" t="inlineStr">
        <is>
          <t>15555555-6</t>
        </is>
      </c>
      <c r="B123" s="3" t="inlineStr">
        <is>
          <t>Activo</t>
        </is>
      </c>
      <c r="C123" s="3" t="inlineStr">
        <is>
          <t>ELENA MUÑOZ (EJEMPLO)</t>
        </is>
      </c>
      <c r="D123" s="3" t="inlineStr">
        <is>
          <t>EXAMEN Y PROCEDIMIENTOS</t>
        </is>
      </c>
      <c r="E123" s="4" t="n">
        <v>46311</v>
      </c>
      <c r="F123" s="3" t="inlineStr">
        <is>
          <t>Viernes</t>
        </is>
      </c>
      <c r="G123" s="4" t="n">
        <v>46307</v>
      </c>
      <c r="H123" s="3" t="inlineStr">
        <is>
          <t>Mañana C/sábado</t>
        </is>
      </c>
      <c r="I123" s="3" t="inlineStr">
        <is>
          <t>TRABAJA</t>
        </is>
      </c>
      <c r="J123" s="5" t="n">
        <v>0.3333333333333333</v>
      </c>
      <c r="K123" s="5" t="n">
        <v>0.6666666666666666</v>
      </c>
      <c r="L123" s="5">
        <f>IF(COUNT(J123:K123)=2,K123-J123,0)</f>
        <v/>
      </c>
      <c r="M123" s="6">
        <f>L123*24</f>
        <v/>
      </c>
      <c r="N123" s="3" t="n">
        <v>60</v>
      </c>
      <c r="O123" s="6">
        <f>N123/60</f>
        <v/>
      </c>
      <c r="P123" s="6">
        <f>M123-O123</f>
        <v/>
      </c>
      <c r="Q123" s="6">
        <f>SUMIFS($P:$P,$A:$A,A123,$G:$G,G123)</f>
        <v/>
      </c>
      <c r="R123" s="5" t="n">
        <v>0.4270833333333333</v>
      </c>
      <c r="S123" s="5" t="n">
        <v>0.6354166666666666</v>
      </c>
      <c r="T123" s="5" t="n">
        <v>0.4791666666666667</v>
      </c>
      <c r="U123" s="5" t="n">
        <v>0.5208333333333334</v>
      </c>
      <c r="V123" s="3">
        <f>IF(COUNT(T123:U123)=2,ROUND((U123-T123)*1440,0),0)</f>
        <v/>
      </c>
    </row>
    <row r="124">
      <c r="A124" s="2" t="inlineStr">
        <is>
          <t>15555555-6</t>
        </is>
      </c>
      <c r="B124" s="3" t="inlineStr">
        <is>
          <t>Activo</t>
        </is>
      </c>
      <c r="C124" s="3" t="inlineStr">
        <is>
          <t>ELENA MUÑOZ (EJEMPLO)</t>
        </is>
      </c>
      <c r="D124" s="3" t="inlineStr">
        <is>
          <t>EXAMEN Y PROCEDIMIENTOS</t>
        </is>
      </c>
      <c r="E124" s="4" t="n">
        <v>46312</v>
      </c>
      <c r="F124" s="3" t="inlineStr">
        <is>
          <t>Sábado</t>
        </is>
      </c>
      <c r="G124" s="4" t="n">
        <v>46307</v>
      </c>
      <c r="H124" s="3" t="inlineStr">
        <is>
          <t>Mañana C/sábado</t>
        </is>
      </c>
      <c r="I124" s="3" t="inlineStr">
        <is>
          <t>TRABAJA</t>
        </is>
      </c>
      <c r="J124" s="5" t="n">
        <v>0.3333333333333333</v>
      </c>
      <c r="K124" s="5" t="n">
        <v>0.5833333333333334</v>
      </c>
      <c r="L124" s="5">
        <f>IF(COUNT(J124:K124)=2,K124-J124,0)</f>
        <v/>
      </c>
      <c r="M124" s="6">
        <f>L124*24</f>
        <v/>
      </c>
      <c r="N124" s="3" t="n">
        <v>30</v>
      </c>
      <c r="O124" s="6">
        <f>N124/60</f>
        <v/>
      </c>
      <c r="P124" s="6">
        <f>M124-O124</f>
        <v/>
      </c>
      <c r="Q124" s="6">
        <f>SUMIFS($P:$P,$A:$A,A124,$G:$G,G124)</f>
        <v/>
      </c>
      <c r="R124" s="5" t="n"/>
      <c r="S124" s="5" t="n"/>
      <c r="T124" s="5" t="n">
        <v>0.4583333333333333</v>
      </c>
      <c r="U124" s="5" t="n">
        <v>0.4791666666666667</v>
      </c>
      <c r="V124" s="3">
        <f>IF(COUNT(T124:U124)=2,ROUND((U124-T124)*1440,0),0)</f>
        <v/>
      </c>
    </row>
    <row r="125">
      <c r="A125" s="2" t="inlineStr">
        <is>
          <t>15555555-6</t>
        </is>
      </c>
      <c r="B125" s="3" t="inlineStr">
        <is>
          <t>Activo</t>
        </is>
      </c>
      <c r="C125" s="3" t="inlineStr">
        <is>
          <t>ELENA MUÑOZ (EJEMPLO)</t>
        </is>
      </c>
      <c r="D125" s="3" t="inlineStr">
        <is>
          <t>EXAMEN Y PROCEDIMIENTOS</t>
        </is>
      </c>
      <c r="E125" s="4" t="n">
        <v>46314</v>
      </c>
      <c r="F125" s="3" t="inlineStr">
        <is>
          <t>Lunes</t>
        </is>
      </c>
      <c r="G125" s="4" t="n">
        <v>46314</v>
      </c>
      <c r="H125" s="3" t="inlineStr">
        <is>
          <t>Intermedio S/sábado</t>
        </is>
      </c>
      <c r="I125" s="3" t="inlineStr">
        <is>
          <t>TRABAJA</t>
        </is>
      </c>
      <c r="J125" s="5" t="n">
        <v>0.375</v>
      </c>
      <c r="K125" s="5" t="n">
        <v>0.7916666666666666</v>
      </c>
      <c r="L125" s="5">
        <f>IF(COUNT(J125:K125)=2,K125-J125,0)</f>
        <v/>
      </c>
      <c r="M125" s="6">
        <f>L125*24</f>
        <v/>
      </c>
      <c r="N125" s="3" t="n">
        <v>60</v>
      </c>
      <c r="O125" s="6">
        <f>N125/60</f>
        <v/>
      </c>
      <c r="P125" s="6">
        <f>M125-O125</f>
        <v/>
      </c>
      <c r="Q125" s="6">
        <f>SUMIFS($P:$P,$A:$A,A125,$G:$G,G125)</f>
        <v/>
      </c>
      <c r="R125" s="5" t="n">
        <v>0.4583333333333333</v>
      </c>
      <c r="S125" s="5" t="n">
        <v>0.71875</v>
      </c>
      <c r="T125" s="5" t="n">
        <v>0.5520833333333334</v>
      </c>
      <c r="U125" s="5" t="n">
        <v>0.59375</v>
      </c>
      <c r="V125" s="3">
        <f>IF(COUNT(T125:U125)=2,ROUND((U125-T125)*1440,0),0)</f>
        <v/>
      </c>
    </row>
    <row r="126">
      <c r="A126" s="2" t="inlineStr">
        <is>
          <t>15555555-6</t>
        </is>
      </c>
      <c r="B126" s="3" t="inlineStr">
        <is>
          <t>Activo</t>
        </is>
      </c>
      <c r="C126" s="3" t="inlineStr">
        <is>
          <t>ELENA MUÑOZ (EJEMPLO)</t>
        </is>
      </c>
      <c r="D126" s="3" t="inlineStr">
        <is>
          <t>EXAMEN Y PROCEDIMIENTOS</t>
        </is>
      </c>
      <c r="E126" s="4" t="n">
        <v>46315</v>
      </c>
      <c r="F126" s="3" t="inlineStr">
        <is>
          <t>Martes</t>
        </is>
      </c>
      <c r="G126" s="4" t="n">
        <v>46314</v>
      </c>
      <c r="H126" s="3" t="inlineStr">
        <is>
          <t>Intermedio S/sábado</t>
        </is>
      </c>
      <c r="I126" s="3" t="inlineStr">
        <is>
          <t>TRABAJA</t>
        </is>
      </c>
      <c r="J126" s="5" t="n">
        <v>0.375</v>
      </c>
      <c r="K126" s="5" t="n">
        <v>0.7916666666666666</v>
      </c>
      <c r="L126" s="5">
        <f>IF(COUNT(J126:K126)=2,K126-J126,0)</f>
        <v/>
      </c>
      <c r="M126" s="6">
        <f>L126*24</f>
        <v/>
      </c>
      <c r="N126" s="3" t="n">
        <v>60</v>
      </c>
      <c r="O126" s="6">
        <f>N126/60</f>
        <v/>
      </c>
      <c r="P126" s="6">
        <f>M126-O126</f>
        <v/>
      </c>
      <c r="Q126" s="6">
        <f>SUMIFS($P:$P,$A:$A,A126,$G:$G,G126)</f>
        <v/>
      </c>
      <c r="R126" s="5" t="n">
        <v>0.4583333333333333</v>
      </c>
      <c r="S126" s="5" t="n">
        <v>0.71875</v>
      </c>
      <c r="T126" s="5" t="n">
        <v>0.5520833333333334</v>
      </c>
      <c r="U126" s="5" t="n">
        <v>0.59375</v>
      </c>
      <c r="V126" s="3">
        <f>IF(COUNT(T126:U126)=2,ROUND((U126-T126)*1440,0),0)</f>
        <v/>
      </c>
    </row>
    <row r="127">
      <c r="A127" s="2" t="inlineStr">
        <is>
          <t>15555555-6</t>
        </is>
      </c>
      <c r="B127" s="3" t="inlineStr">
        <is>
          <t>Activo</t>
        </is>
      </c>
      <c r="C127" s="3" t="inlineStr">
        <is>
          <t>ELENA MUÑOZ (EJEMPLO)</t>
        </is>
      </c>
      <c r="D127" s="3" t="inlineStr">
        <is>
          <t>EXAMEN Y PROCEDIMIENTOS</t>
        </is>
      </c>
      <c r="E127" s="4" t="n">
        <v>46316</v>
      </c>
      <c r="F127" s="3" t="inlineStr">
        <is>
          <t>Miércoles</t>
        </is>
      </c>
      <c r="G127" s="4" t="n">
        <v>46314</v>
      </c>
      <c r="H127" s="3" t="inlineStr">
        <is>
          <t>Intermedio S/sábado</t>
        </is>
      </c>
      <c r="I127" s="3" t="inlineStr">
        <is>
          <t>TRABAJA</t>
        </is>
      </c>
      <c r="J127" s="5" t="n">
        <v>0.375</v>
      </c>
      <c r="K127" s="5" t="n">
        <v>0.75</v>
      </c>
      <c r="L127" s="5">
        <f>IF(COUNT(J127:K127)=2,K127-J127,0)</f>
        <v/>
      </c>
      <c r="M127" s="6">
        <f>L127*24</f>
        <v/>
      </c>
      <c r="N127" s="3" t="n">
        <v>60</v>
      </c>
      <c r="O127" s="6">
        <f>N127/60</f>
        <v/>
      </c>
      <c r="P127" s="6">
        <f>M127-O127</f>
        <v/>
      </c>
      <c r="Q127" s="6">
        <f>SUMIFS($P:$P,$A:$A,A127,$G:$G,G127)</f>
        <v/>
      </c>
      <c r="R127" s="5" t="n">
        <v>0.4583333333333333</v>
      </c>
      <c r="S127" s="5" t="n">
        <v>0.6354166666666666</v>
      </c>
      <c r="T127" s="5" t="n">
        <v>0.5104166666666666</v>
      </c>
      <c r="U127" s="5" t="n">
        <v>0.5520833333333334</v>
      </c>
      <c r="V127" s="3">
        <f>IF(COUNT(T127:U127)=2,ROUND((U127-T127)*1440,0),0)</f>
        <v/>
      </c>
    </row>
    <row r="128">
      <c r="A128" s="2" t="inlineStr">
        <is>
          <t>15555555-6</t>
        </is>
      </c>
      <c r="B128" s="3" t="inlineStr">
        <is>
          <t>Activo</t>
        </is>
      </c>
      <c r="C128" s="3" t="inlineStr">
        <is>
          <t>ELENA MUÑOZ (EJEMPLO)</t>
        </is>
      </c>
      <c r="D128" s="3" t="inlineStr">
        <is>
          <t>EXAMEN Y PROCEDIMIENTOS</t>
        </is>
      </c>
      <c r="E128" s="4" t="n">
        <v>46317</v>
      </c>
      <c r="F128" s="3" t="inlineStr">
        <is>
          <t>Jueves</t>
        </is>
      </c>
      <c r="G128" s="4" t="n">
        <v>46314</v>
      </c>
      <c r="H128" s="3" t="inlineStr">
        <is>
          <t>Intermedio S/sábado</t>
        </is>
      </c>
      <c r="I128" s="3" t="inlineStr">
        <is>
          <t>TRABAJA</t>
        </is>
      </c>
      <c r="J128" s="5" t="n">
        <v>0.375</v>
      </c>
      <c r="K128" s="5" t="n">
        <v>0.75</v>
      </c>
      <c r="L128" s="5">
        <f>IF(COUNT(J128:K128)=2,K128-J128,0)</f>
        <v/>
      </c>
      <c r="M128" s="6">
        <f>L128*24</f>
        <v/>
      </c>
      <c r="N128" s="3" t="n">
        <v>60</v>
      </c>
      <c r="O128" s="6">
        <f>N128/60</f>
        <v/>
      </c>
      <c r="P128" s="6">
        <f>M128-O128</f>
        <v/>
      </c>
      <c r="Q128" s="6">
        <f>SUMIFS($P:$P,$A:$A,A128,$G:$G,G128)</f>
        <v/>
      </c>
      <c r="R128" s="5" t="n">
        <v>0.4583333333333333</v>
      </c>
      <c r="S128" s="5" t="n">
        <v>0.6979166666666666</v>
      </c>
      <c r="T128" s="5" t="n">
        <v>0.5416666666666666</v>
      </c>
      <c r="U128" s="5" t="n">
        <v>0.5833333333333334</v>
      </c>
      <c r="V128" s="3">
        <f>IF(COUNT(T128:U128)=2,ROUND((U128-T128)*1440,0),0)</f>
        <v/>
      </c>
    </row>
    <row r="129">
      <c r="A129" s="2" t="inlineStr">
        <is>
          <t>15555555-6</t>
        </is>
      </c>
      <c r="B129" s="3" t="inlineStr">
        <is>
          <t>Activo</t>
        </is>
      </c>
      <c r="C129" s="3" t="inlineStr">
        <is>
          <t>ELENA MUÑOZ (EJEMPLO)</t>
        </is>
      </c>
      <c r="D129" s="3" t="inlineStr">
        <is>
          <t>EXAMEN Y PROCEDIMIENTOS</t>
        </is>
      </c>
      <c r="E129" s="4" t="n">
        <v>46318</v>
      </c>
      <c r="F129" s="3" t="inlineStr">
        <is>
          <t>Viernes</t>
        </is>
      </c>
      <c r="G129" s="4" t="n">
        <v>46314</v>
      </c>
      <c r="H129" s="3" t="inlineStr">
        <is>
          <t>Intermedio S/sábado</t>
        </is>
      </c>
      <c r="I129" s="3" t="inlineStr">
        <is>
          <t>TRABAJA</t>
        </is>
      </c>
      <c r="J129" s="5" t="n">
        <v>0.375</v>
      </c>
      <c r="K129" s="5" t="n">
        <v>0.75</v>
      </c>
      <c r="L129" s="5">
        <f>IF(COUNT(J129:K129)=2,K129-J129,0)</f>
        <v/>
      </c>
      <c r="M129" s="6">
        <f>L129*24</f>
        <v/>
      </c>
      <c r="N129" s="3" t="n">
        <v>60</v>
      </c>
      <c r="O129" s="6">
        <f>N129/60</f>
        <v/>
      </c>
      <c r="P129" s="6">
        <f>M129-O129</f>
        <v/>
      </c>
      <c r="Q129" s="6">
        <f>SUMIFS($P:$P,$A:$A,A129,$G:$G,G129)</f>
        <v/>
      </c>
      <c r="R129" s="5" t="n">
        <v>0.4583333333333333</v>
      </c>
      <c r="S129" s="5" t="n">
        <v>0.6979166666666666</v>
      </c>
      <c r="T129" s="5" t="n">
        <v>0.5520833333333334</v>
      </c>
      <c r="U129" s="5" t="n">
        <v>0.59375</v>
      </c>
      <c r="V129" s="3">
        <f>IF(COUNT(T129:U129)=2,ROUND((U129-T129)*1440,0),0)</f>
        <v/>
      </c>
    </row>
    <row r="130">
      <c r="A130" s="2" t="inlineStr">
        <is>
          <t>15555555-6</t>
        </is>
      </c>
      <c r="B130" s="3" t="inlineStr">
        <is>
          <t>Activo</t>
        </is>
      </c>
      <c r="C130" s="3" t="inlineStr">
        <is>
          <t>ELENA MUÑOZ (EJEMPLO)</t>
        </is>
      </c>
      <c r="D130" s="3" t="inlineStr">
        <is>
          <t>EXAMEN Y PROCEDIMIENTOS</t>
        </is>
      </c>
      <c r="E130" s="4" t="n">
        <v>46319</v>
      </c>
      <c r="F130" s="3" t="inlineStr">
        <is>
          <t>Sábado</t>
        </is>
      </c>
      <c r="G130" s="4" t="n">
        <v>46314</v>
      </c>
      <c r="H130" s="3" t="inlineStr">
        <is>
          <t>Intermedio S/sábado</t>
        </is>
      </c>
      <c r="I130" s="3" t="inlineStr">
        <is>
          <t>LIBRE</t>
        </is>
      </c>
      <c r="J130" s="5" t="n"/>
      <c r="K130" s="5" t="n"/>
      <c r="L130" s="5">
        <f>IF(COUNT(J130:K130)=2,K130-J130,0)</f>
        <v/>
      </c>
      <c r="M130" s="6">
        <f>L130*24</f>
        <v/>
      </c>
      <c r="N130" s="3" t="n">
        <v>0</v>
      </c>
      <c r="O130" s="6">
        <f>N130/60</f>
        <v/>
      </c>
      <c r="P130" s="6">
        <f>M130-O130</f>
        <v/>
      </c>
      <c r="Q130" s="6">
        <f>SUMIFS($P:$P,$A:$A,A130,$G:$G,G130)</f>
        <v/>
      </c>
      <c r="R130" s="5" t="n"/>
      <c r="S130" s="5" t="n"/>
      <c r="T130" s="5" t="n"/>
      <c r="U130" s="5" t="n"/>
      <c r="V130" s="3">
        <f>IF(COUNT(T130:U130)=2,ROUND((U130-T130)*1440,0),0)</f>
        <v/>
      </c>
    </row>
    <row r="131">
      <c r="A131" s="2" t="inlineStr">
        <is>
          <t>15555555-6</t>
        </is>
      </c>
      <c r="B131" s="3" t="inlineStr">
        <is>
          <t>Activo</t>
        </is>
      </c>
      <c r="C131" s="3" t="inlineStr">
        <is>
          <t>ELENA MUÑOZ (EJEMPLO)</t>
        </is>
      </c>
      <c r="D131" s="3" t="inlineStr">
        <is>
          <t>EXAMEN Y PROCEDIMIENTOS</t>
        </is>
      </c>
      <c r="E131" s="4" t="n">
        <v>46321</v>
      </c>
      <c r="F131" s="3" t="inlineStr">
        <is>
          <t>Lunes</t>
        </is>
      </c>
      <c r="G131" s="4" t="n">
        <v>46321</v>
      </c>
      <c r="H131" s="3" t="inlineStr">
        <is>
          <t>Intermedio S/sábado</t>
        </is>
      </c>
      <c r="I131" s="3" t="inlineStr">
        <is>
          <t>TRABAJA</t>
        </is>
      </c>
      <c r="J131" s="5" t="n">
        <v>0.375</v>
      </c>
      <c r="K131" s="5" t="n">
        <v>0.7916666666666666</v>
      </c>
      <c r="L131" s="5">
        <f>IF(COUNT(J131:K131)=2,K131-J131,0)</f>
        <v/>
      </c>
      <c r="M131" s="6">
        <f>L131*24</f>
        <v/>
      </c>
      <c r="N131" s="3" t="n">
        <v>60</v>
      </c>
      <c r="O131" s="6">
        <f>N131/60</f>
        <v/>
      </c>
      <c r="P131" s="6">
        <f>M131-O131</f>
        <v/>
      </c>
      <c r="Q131" s="6">
        <f>SUMIFS($P:$P,$A:$A,A131,$G:$G,G131)</f>
        <v/>
      </c>
      <c r="R131" s="5" t="n">
        <v>0.4791666666666667</v>
      </c>
      <c r="S131" s="5" t="n">
        <v>0.75</v>
      </c>
      <c r="T131" s="5" t="n">
        <v>0.6145833333333334</v>
      </c>
      <c r="U131" s="5" t="n">
        <v>0.65625</v>
      </c>
      <c r="V131" s="3">
        <f>IF(COUNT(T131:U131)=2,ROUND((U131-T131)*1440,0),0)</f>
        <v/>
      </c>
    </row>
    <row r="132">
      <c r="A132" s="2" t="inlineStr">
        <is>
          <t>15555555-6</t>
        </is>
      </c>
      <c r="B132" s="3" t="inlineStr">
        <is>
          <t>Activo</t>
        </is>
      </c>
      <c r="C132" s="3" t="inlineStr">
        <is>
          <t>ELENA MUÑOZ (EJEMPLO)</t>
        </is>
      </c>
      <c r="D132" s="3" t="inlineStr">
        <is>
          <t>EXAMEN Y PROCEDIMIENTOS</t>
        </is>
      </c>
      <c r="E132" s="4" t="n">
        <v>46322</v>
      </c>
      <c r="F132" s="3" t="inlineStr">
        <is>
          <t>Martes</t>
        </is>
      </c>
      <c r="G132" s="4" t="n">
        <v>46321</v>
      </c>
      <c r="H132" s="3" t="inlineStr">
        <is>
          <t>Intermedio S/sábado</t>
        </is>
      </c>
      <c r="I132" s="3" t="inlineStr">
        <is>
          <t>TRABAJA</t>
        </is>
      </c>
      <c r="J132" s="5" t="n">
        <v>0.375</v>
      </c>
      <c r="K132" s="5" t="n">
        <v>0.7916666666666666</v>
      </c>
      <c r="L132" s="5">
        <f>IF(COUNT(J132:K132)=2,K132-J132,0)</f>
        <v/>
      </c>
      <c r="M132" s="6">
        <f>L132*24</f>
        <v/>
      </c>
      <c r="N132" s="3" t="n">
        <v>60</v>
      </c>
      <c r="O132" s="6">
        <f>N132/60</f>
        <v/>
      </c>
      <c r="P132" s="6">
        <f>M132-O132</f>
        <v/>
      </c>
      <c r="Q132" s="6">
        <f>SUMIFS($P:$P,$A:$A,A132,$G:$G,G132)</f>
        <v/>
      </c>
      <c r="R132" s="5" t="n">
        <v>0.4791666666666667</v>
      </c>
      <c r="S132" s="5" t="n">
        <v>0.75</v>
      </c>
      <c r="T132" s="5" t="n">
        <v>0.6145833333333334</v>
      </c>
      <c r="U132" s="5" t="n">
        <v>0.65625</v>
      </c>
      <c r="V132" s="3">
        <f>IF(COUNT(T132:U132)=2,ROUND((U132-T132)*1440,0),0)</f>
        <v/>
      </c>
    </row>
    <row r="133">
      <c r="A133" s="2" t="inlineStr">
        <is>
          <t>15555555-6</t>
        </is>
      </c>
      <c r="B133" s="3" t="inlineStr">
        <is>
          <t>Activo</t>
        </is>
      </c>
      <c r="C133" s="3" t="inlineStr">
        <is>
          <t>ELENA MUÑOZ (EJEMPLO)</t>
        </is>
      </c>
      <c r="D133" s="3" t="inlineStr">
        <is>
          <t>EXAMEN Y PROCEDIMIENTOS</t>
        </is>
      </c>
      <c r="E133" s="4" t="n">
        <v>46323</v>
      </c>
      <c r="F133" s="3" t="inlineStr">
        <is>
          <t>Miércoles</t>
        </is>
      </c>
      <c r="G133" s="4" t="n">
        <v>46321</v>
      </c>
      <c r="H133" s="3" t="inlineStr">
        <is>
          <t>Intermedio S/sábado</t>
        </is>
      </c>
      <c r="I133" s="3" t="inlineStr">
        <is>
          <t>TRABAJA</t>
        </is>
      </c>
      <c r="J133" s="5" t="n">
        <v>0.375</v>
      </c>
      <c r="K133" s="5" t="n">
        <v>0.75</v>
      </c>
      <c r="L133" s="5">
        <f>IF(COUNT(J133:K133)=2,K133-J133,0)</f>
        <v/>
      </c>
      <c r="M133" s="6">
        <f>L133*24</f>
        <v/>
      </c>
      <c r="N133" s="3" t="n">
        <v>60</v>
      </c>
      <c r="O133" s="6">
        <f>N133/60</f>
        <v/>
      </c>
      <c r="P133" s="6">
        <f>M133-O133</f>
        <v/>
      </c>
      <c r="Q133" s="6">
        <f>SUMIFS($P:$P,$A:$A,A133,$G:$G,G133)</f>
        <v/>
      </c>
      <c r="R133" s="5" t="n">
        <v>0.46875</v>
      </c>
      <c r="S133" s="5" t="n">
        <v>0.71875</v>
      </c>
      <c r="T133" s="5" t="n">
        <v>0.59375</v>
      </c>
      <c r="U133" s="5" t="n">
        <v>0.6354166666666666</v>
      </c>
      <c r="V133" s="3">
        <f>IF(COUNT(T133:U133)=2,ROUND((U133-T133)*1440,0),0)</f>
        <v/>
      </c>
    </row>
    <row r="134">
      <c r="A134" s="2" t="inlineStr">
        <is>
          <t>15555555-6</t>
        </is>
      </c>
      <c r="B134" s="3" t="inlineStr">
        <is>
          <t>Activo</t>
        </is>
      </c>
      <c r="C134" s="3" t="inlineStr">
        <is>
          <t>ELENA MUÑOZ (EJEMPLO)</t>
        </is>
      </c>
      <c r="D134" s="3" t="inlineStr">
        <is>
          <t>EXAMEN Y PROCEDIMIENTOS</t>
        </is>
      </c>
      <c r="E134" s="4" t="n">
        <v>46324</v>
      </c>
      <c r="F134" s="3" t="inlineStr">
        <is>
          <t>Jueves</t>
        </is>
      </c>
      <c r="G134" s="4" t="n">
        <v>46321</v>
      </c>
      <c r="H134" s="3" t="inlineStr">
        <is>
          <t>Intermedio S/sábado</t>
        </is>
      </c>
      <c r="I134" s="3" t="inlineStr">
        <is>
          <t>TRABAJA</t>
        </is>
      </c>
      <c r="J134" s="5" t="n">
        <v>0.375</v>
      </c>
      <c r="K134" s="5" t="n">
        <v>0.75</v>
      </c>
      <c r="L134" s="5">
        <f>IF(COUNT(J134:K134)=2,K134-J134,0)</f>
        <v/>
      </c>
      <c r="M134" s="6">
        <f>L134*24</f>
        <v/>
      </c>
      <c r="N134" s="3" t="n">
        <v>60</v>
      </c>
      <c r="O134" s="6">
        <f>N134/60</f>
        <v/>
      </c>
      <c r="P134" s="6">
        <f>M134-O134</f>
        <v/>
      </c>
      <c r="Q134" s="6">
        <f>SUMIFS($P:$P,$A:$A,A134,$G:$G,G134)</f>
        <v/>
      </c>
      <c r="R134" s="5" t="n">
        <v>0.46875</v>
      </c>
      <c r="S134" s="5" t="n">
        <v>0.6458333333333334</v>
      </c>
      <c r="T134" s="5" t="n">
        <v>0.5208333333333334</v>
      </c>
      <c r="U134" s="5" t="n">
        <v>0.5625</v>
      </c>
      <c r="V134" s="3">
        <f>IF(COUNT(T134:U134)=2,ROUND((U134-T134)*1440,0),0)</f>
        <v/>
      </c>
    </row>
    <row r="135">
      <c r="A135" s="2" t="inlineStr">
        <is>
          <t>15555555-6</t>
        </is>
      </c>
      <c r="B135" s="3" t="inlineStr">
        <is>
          <t>Activo</t>
        </is>
      </c>
      <c r="C135" s="3" t="inlineStr">
        <is>
          <t>ELENA MUÑOZ (EJEMPLO)</t>
        </is>
      </c>
      <c r="D135" s="3" t="inlineStr">
        <is>
          <t>EXAMEN Y PROCEDIMIENTOS</t>
        </is>
      </c>
      <c r="E135" s="4" t="n">
        <v>46325</v>
      </c>
      <c r="F135" s="3" t="inlineStr">
        <is>
          <t>Viernes</t>
        </is>
      </c>
      <c r="G135" s="4" t="n">
        <v>46321</v>
      </c>
      <c r="H135" s="3" t="inlineStr">
        <is>
          <t>Intermedio S/sábado</t>
        </is>
      </c>
      <c r="I135" s="3" t="inlineStr">
        <is>
          <t>TRABAJA</t>
        </is>
      </c>
      <c r="J135" s="5" t="n">
        <v>0.375</v>
      </c>
      <c r="K135" s="5" t="n">
        <v>0.75</v>
      </c>
      <c r="L135" s="5">
        <f>IF(COUNT(J135:K135)=2,K135-J135,0)</f>
        <v/>
      </c>
      <c r="M135" s="6">
        <f>L135*24</f>
        <v/>
      </c>
      <c r="N135" s="3" t="n">
        <v>60</v>
      </c>
      <c r="O135" s="6">
        <f>N135/60</f>
        <v/>
      </c>
      <c r="P135" s="6">
        <f>M135-O135</f>
        <v/>
      </c>
      <c r="Q135" s="6">
        <f>SUMIFS($P:$P,$A:$A,A135,$G:$G,G135)</f>
        <v/>
      </c>
      <c r="R135" s="5" t="n">
        <v>0.46875</v>
      </c>
      <c r="S135" s="5" t="n">
        <v>0.71875</v>
      </c>
      <c r="T135" s="5" t="n">
        <v>0.59375</v>
      </c>
      <c r="U135" s="5" t="n">
        <v>0.6354166666666666</v>
      </c>
      <c r="V135" s="3">
        <f>IF(COUNT(T135:U135)=2,ROUND((U135-T135)*1440,0),0)</f>
        <v/>
      </c>
    </row>
    <row r="136">
      <c r="A136" s="2" t="inlineStr">
        <is>
          <t>15555555-6</t>
        </is>
      </c>
      <c r="B136" s="3" t="inlineStr">
        <is>
          <t>Activo</t>
        </is>
      </c>
      <c r="C136" s="3" t="inlineStr">
        <is>
          <t>ELENA MUÑOZ (EJEMPLO)</t>
        </is>
      </c>
      <c r="D136" s="3" t="inlineStr">
        <is>
          <t>EXAMEN Y PROCEDIMIENTOS</t>
        </is>
      </c>
      <c r="E136" s="4" t="n">
        <v>46326</v>
      </c>
      <c r="F136" s="3" t="inlineStr">
        <is>
          <t>Sábado</t>
        </is>
      </c>
      <c r="G136" s="4" t="n">
        <v>46321</v>
      </c>
      <c r="H136" s="3" t="inlineStr">
        <is>
          <t>Intermedio S/sábado</t>
        </is>
      </c>
      <c r="I136" s="3" t="inlineStr">
        <is>
          <t>FERIADO</t>
        </is>
      </c>
      <c r="J136" s="5" t="n"/>
      <c r="K136" s="5" t="n"/>
      <c r="L136" s="5">
        <f>IF(COUNT(J136:K136)=2,K136-J136,0)</f>
        <v/>
      </c>
      <c r="M136" s="6">
        <f>L136*24</f>
        <v/>
      </c>
      <c r="N136" s="3" t="n">
        <v>0</v>
      </c>
      <c r="O136" s="6">
        <f>N136/60</f>
        <v/>
      </c>
      <c r="P136" s="6">
        <f>M136-O136</f>
        <v/>
      </c>
      <c r="Q136" s="6">
        <f>SUMIFS($P:$P,$A:$A,A136,$G:$G,G136)</f>
        <v/>
      </c>
      <c r="R136" s="5" t="n"/>
      <c r="S136" s="5" t="n"/>
      <c r="T136" s="5" t="n"/>
      <c r="U136" s="5" t="n"/>
      <c r="V136" s="3">
        <f>IF(COUNT(T136:U136)=2,ROUND((U136-T136)*1440,0),0)</f>
        <v/>
      </c>
    </row>
    <row r="137">
      <c r="A137" s="2" t="inlineStr">
        <is>
          <t>16666666-K</t>
        </is>
      </c>
      <c r="B137" s="3" t="inlineStr">
        <is>
          <t>Activo</t>
        </is>
      </c>
      <c r="C137" s="3" t="inlineStr">
        <is>
          <t>FELIPE VERA (EJEMPLO)</t>
        </is>
      </c>
      <c r="D137" s="3" t="inlineStr">
        <is>
          <t>EXAMEN Y PROCEDIMIENTOS</t>
        </is>
      </c>
      <c r="E137" s="4" t="n">
        <v>46296</v>
      </c>
      <c r="F137" s="3" t="inlineStr">
        <is>
          <t>Jueves</t>
        </is>
      </c>
      <c r="G137" s="4" t="n">
        <v>46293</v>
      </c>
      <c r="H137" s="3" t="inlineStr">
        <is>
          <t>Intermedio S/sábado</t>
        </is>
      </c>
      <c r="I137" s="3" t="inlineStr">
        <is>
          <t>TRABAJA</t>
        </is>
      </c>
      <c r="J137" s="5" t="n">
        <v>0.375</v>
      </c>
      <c r="K137" s="5" t="n">
        <v>0.75</v>
      </c>
      <c r="L137" s="5">
        <f>IF(COUNT(J137:K137)=2,K137-J137,0)</f>
        <v/>
      </c>
      <c r="M137" s="6">
        <f>L137*24</f>
        <v/>
      </c>
      <c r="N137" s="3" t="n">
        <v>60</v>
      </c>
      <c r="O137" s="6">
        <f>N137/60</f>
        <v/>
      </c>
      <c r="P137" s="6">
        <f>M137-O137</f>
        <v/>
      </c>
      <c r="Q137" s="6">
        <f>SUMIFS($P:$P,$A:$A,A137,$G:$G,G137)</f>
        <v/>
      </c>
      <c r="R137" s="5" t="n">
        <v>0.4583333333333333</v>
      </c>
      <c r="S137" s="5" t="n">
        <v>0.6875</v>
      </c>
      <c r="T137" s="5" t="n">
        <v>0.5520833333333334</v>
      </c>
      <c r="U137" s="5" t="n">
        <v>0.59375</v>
      </c>
      <c r="V137" s="3">
        <f>IF(COUNT(T137:U137)=2,ROUND((U137-T137)*1440,0),0)</f>
        <v/>
      </c>
    </row>
    <row r="138">
      <c r="A138" s="2" t="inlineStr">
        <is>
          <t>16666666-K</t>
        </is>
      </c>
      <c r="B138" s="3" t="inlineStr">
        <is>
          <t>Activo</t>
        </is>
      </c>
      <c r="C138" s="3" t="inlineStr">
        <is>
          <t>FELIPE VERA (EJEMPLO)</t>
        </is>
      </c>
      <c r="D138" s="3" t="inlineStr">
        <is>
          <t>EXAMEN Y PROCEDIMIENTOS</t>
        </is>
      </c>
      <c r="E138" s="4" t="n">
        <v>46297</v>
      </c>
      <c r="F138" s="3" t="inlineStr">
        <is>
          <t>Viernes</t>
        </is>
      </c>
      <c r="G138" s="4" t="n">
        <v>46293</v>
      </c>
      <c r="H138" s="3" t="inlineStr">
        <is>
          <t>Intermedio S/sábado</t>
        </is>
      </c>
      <c r="I138" s="3" t="inlineStr">
        <is>
          <t>TRABAJA</t>
        </is>
      </c>
      <c r="J138" s="5" t="n">
        <v>0.375</v>
      </c>
      <c r="K138" s="5" t="n">
        <v>0.75</v>
      </c>
      <c r="L138" s="5">
        <f>IF(COUNT(J138:K138)=2,K138-J138,0)</f>
        <v/>
      </c>
      <c r="M138" s="6">
        <f>L138*24</f>
        <v/>
      </c>
      <c r="N138" s="3" t="n">
        <v>60</v>
      </c>
      <c r="O138" s="6">
        <f>N138/60</f>
        <v/>
      </c>
      <c r="P138" s="6">
        <f>M138-O138</f>
        <v/>
      </c>
      <c r="Q138" s="6">
        <f>SUMIFS($P:$P,$A:$A,A138,$G:$G,G138)</f>
        <v/>
      </c>
      <c r="R138" s="5" t="n">
        <v>0.4583333333333333</v>
      </c>
      <c r="S138" s="5" t="n">
        <v>0.71875</v>
      </c>
      <c r="T138" s="5" t="n">
        <v>0.59375</v>
      </c>
      <c r="U138" s="5" t="n">
        <v>0.6354166666666666</v>
      </c>
      <c r="V138" s="3">
        <f>IF(COUNT(T138:U138)=2,ROUND((U138-T138)*1440,0),0)</f>
        <v/>
      </c>
    </row>
    <row r="139">
      <c r="A139" s="2" t="inlineStr">
        <is>
          <t>16666666-K</t>
        </is>
      </c>
      <c r="B139" s="3" t="inlineStr">
        <is>
          <t>Activo</t>
        </is>
      </c>
      <c r="C139" s="3" t="inlineStr">
        <is>
          <t>FELIPE VERA (EJEMPLO)</t>
        </is>
      </c>
      <c r="D139" s="3" t="inlineStr">
        <is>
          <t>EXAMEN Y PROCEDIMIENTOS</t>
        </is>
      </c>
      <c r="E139" s="4" t="n">
        <v>46298</v>
      </c>
      <c r="F139" s="3" t="inlineStr">
        <is>
          <t>Sábado</t>
        </is>
      </c>
      <c r="G139" s="4" t="n">
        <v>46293</v>
      </c>
      <c r="H139" s="3" t="inlineStr">
        <is>
          <t>Intermedio S/sábado</t>
        </is>
      </c>
      <c r="I139" s="3" t="inlineStr">
        <is>
          <t>LIBRE</t>
        </is>
      </c>
      <c r="J139" s="5" t="n"/>
      <c r="K139" s="5" t="n"/>
      <c r="L139" s="5">
        <f>IF(COUNT(J139:K139)=2,K139-J139,0)</f>
        <v/>
      </c>
      <c r="M139" s="6">
        <f>L139*24</f>
        <v/>
      </c>
      <c r="N139" s="3" t="n">
        <v>0</v>
      </c>
      <c r="O139" s="6">
        <f>N139/60</f>
        <v/>
      </c>
      <c r="P139" s="6">
        <f>M139-O139</f>
        <v/>
      </c>
      <c r="Q139" s="6">
        <f>SUMIFS($P:$P,$A:$A,A139,$G:$G,G139)</f>
        <v/>
      </c>
      <c r="R139" s="5" t="n"/>
      <c r="S139" s="5" t="n"/>
      <c r="T139" s="5" t="n"/>
      <c r="U139" s="5" t="n"/>
      <c r="V139" s="3">
        <f>IF(COUNT(T139:U139)=2,ROUND((U139-T139)*1440,0),0)</f>
        <v/>
      </c>
    </row>
    <row r="140">
      <c r="A140" s="2" t="inlineStr">
        <is>
          <t>16666666-K</t>
        </is>
      </c>
      <c r="B140" s="3" t="inlineStr">
        <is>
          <t>Activo</t>
        </is>
      </c>
      <c r="C140" s="3" t="inlineStr">
        <is>
          <t>FELIPE VERA (EJEMPLO)</t>
        </is>
      </c>
      <c r="D140" s="3" t="inlineStr">
        <is>
          <t>EXAMEN Y PROCEDIMIENTOS</t>
        </is>
      </c>
      <c r="E140" s="4" t="n">
        <v>46300</v>
      </c>
      <c r="F140" s="3" t="inlineStr">
        <is>
          <t>Lunes</t>
        </is>
      </c>
      <c r="G140" s="4" t="n">
        <v>46300</v>
      </c>
      <c r="H140" s="3" t="inlineStr">
        <is>
          <t>Tarde C/sábado</t>
        </is>
      </c>
      <c r="I140" s="3" t="inlineStr">
        <is>
          <t>TRABAJA</t>
        </is>
      </c>
      <c r="J140" s="5" t="n">
        <v>0.4791666666666667</v>
      </c>
      <c r="K140" s="5" t="n">
        <v>0.8333333333333334</v>
      </c>
      <c r="L140" s="5">
        <f>IF(COUNT(J140:K140)=2,K140-J140,0)</f>
        <v/>
      </c>
      <c r="M140" s="6">
        <f>L140*24</f>
        <v/>
      </c>
      <c r="N140" s="3" t="n">
        <v>60</v>
      </c>
      <c r="O140" s="6">
        <f>N140/60</f>
        <v/>
      </c>
      <c r="P140" s="6">
        <f>M140-O140</f>
        <v/>
      </c>
      <c r="Q140" s="6">
        <f>SUMIFS($P:$P,$A:$A,A140,$G:$G,G140)</f>
        <v/>
      </c>
      <c r="R140" s="5" t="n">
        <v>0.5625</v>
      </c>
      <c r="S140" s="5" t="n">
        <v>0.7916666666666666</v>
      </c>
      <c r="T140" s="5" t="n">
        <v>0.6666666666666666</v>
      </c>
      <c r="U140" s="5" t="n">
        <v>0.7083333333333334</v>
      </c>
      <c r="V140" s="3">
        <f>IF(COUNT(T140:U140)=2,ROUND((U140-T140)*1440,0),0)</f>
        <v/>
      </c>
    </row>
    <row r="141">
      <c r="A141" s="2" t="inlineStr">
        <is>
          <t>16666666-K</t>
        </is>
      </c>
      <c r="B141" s="3" t="inlineStr">
        <is>
          <t>Activo</t>
        </is>
      </c>
      <c r="C141" s="3" t="inlineStr">
        <is>
          <t>FELIPE VERA (EJEMPLO)</t>
        </is>
      </c>
      <c r="D141" s="3" t="inlineStr">
        <is>
          <t>EXAMEN Y PROCEDIMIENTOS</t>
        </is>
      </c>
      <c r="E141" s="4" t="n">
        <v>46301</v>
      </c>
      <c r="F141" s="3" t="inlineStr">
        <is>
          <t>Martes</t>
        </is>
      </c>
      <c r="G141" s="4" t="n">
        <v>46300</v>
      </c>
      <c r="H141" s="3" t="inlineStr">
        <is>
          <t>Tarde C/sábado</t>
        </is>
      </c>
      <c r="I141" s="3" t="inlineStr">
        <is>
          <t>TRABAJA</t>
        </is>
      </c>
      <c r="J141" s="5" t="n">
        <v>0.4791666666666667</v>
      </c>
      <c r="K141" s="5" t="n">
        <v>0.8333333333333334</v>
      </c>
      <c r="L141" s="5">
        <f>IF(COUNT(J141:K141)=2,K141-J141,0)</f>
        <v/>
      </c>
      <c r="M141" s="6">
        <f>L141*24</f>
        <v/>
      </c>
      <c r="N141" s="3" t="n">
        <v>60</v>
      </c>
      <c r="O141" s="6">
        <f>N141/60</f>
        <v/>
      </c>
      <c r="P141" s="6">
        <f>M141-O141</f>
        <v/>
      </c>
      <c r="Q141" s="6">
        <f>SUMIFS($P:$P,$A:$A,A141,$G:$G,G141)</f>
        <v/>
      </c>
      <c r="R141" s="5" t="n">
        <v>0.5625</v>
      </c>
      <c r="S141" s="5" t="n">
        <v>0.7916666666666666</v>
      </c>
      <c r="T141" s="5" t="n">
        <v>0.6666666666666666</v>
      </c>
      <c r="U141" s="5" t="n">
        <v>0.7083333333333334</v>
      </c>
      <c r="V141" s="3">
        <f>IF(COUNT(T141:U141)=2,ROUND((U141-T141)*1440,0),0)</f>
        <v/>
      </c>
    </row>
    <row r="142">
      <c r="A142" s="2" t="inlineStr">
        <is>
          <t>16666666-K</t>
        </is>
      </c>
      <c r="B142" s="3" t="inlineStr">
        <is>
          <t>Activo</t>
        </is>
      </c>
      <c r="C142" s="3" t="inlineStr">
        <is>
          <t>FELIPE VERA (EJEMPLO)</t>
        </is>
      </c>
      <c r="D142" s="3" t="inlineStr">
        <is>
          <t>EXAMEN Y PROCEDIMIENTOS</t>
        </is>
      </c>
      <c r="E142" s="4" t="n">
        <v>46302</v>
      </c>
      <c r="F142" s="3" t="inlineStr">
        <is>
          <t>Miércoles</t>
        </is>
      </c>
      <c r="G142" s="4" t="n">
        <v>46300</v>
      </c>
      <c r="H142" s="3" t="inlineStr">
        <is>
          <t>Tarde C/sábado</t>
        </is>
      </c>
      <c r="I142" s="3" t="inlineStr">
        <is>
          <t>TRABAJA</t>
        </is>
      </c>
      <c r="J142" s="5" t="n">
        <v>0.4791666666666667</v>
      </c>
      <c r="K142" s="5" t="n">
        <v>0.8333333333333334</v>
      </c>
      <c r="L142" s="5">
        <f>IF(COUNT(J142:K142)=2,K142-J142,0)</f>
        <v/>
      </c>
      <c r="M142" s="6">
        <f>L142*24</f>
        <v/>
      </c>
      <c r="N142" s="3" t="n">
        <v>60</v>
      </c>
      <c r="O142" s="6">
        <f>N142/60</f>
        <v/>
      </c>
      <c r="P142" s="6">
        <f>M142-O142</f>
        <v/>
      </c>
      <c r="Q142" s="6">
        <f>SUMIFS($P:$P,$A:$A,A142,$G:$G,G142)</f>
        <v/>
      </c>
      <c r="R142" s="5" t="n">
        <v>0.5729166666666666</v>
      </c>
      <c r="S142" s="5" t="n">
        <v>0.7916666666666666</v>
      </c>
      <c r="T142" s="5" t="n">
        <v>0.6666666666666666</v>
      </c>
      <c r="U142" s="5" t="n">
        <v>0.7083333333333334</v>
      </c>
      <c r="V142" s="3">
        <f>IF(COUNT(T142:U142)=2,ROUND((U142-T142)*1440,0),0)</f>
        <v/>
      </c>
    </row>
    <row r="143">
      <c r="A143" s="2" t="inlineStr">
        <is>
          <t>16666666-K</t>
        </is>
      </c>
      <c r="B143" s="3" t="inlineStr">
        <is>
          <t>Activo</t>
        </is>
      </c>
      <c r="C143" s="3" t="inlineStr">
        <is>
          <t>FELIPE VERA (EJEMPLO)</t>
        </is>
      </c>
      <c r="D143" s="3" t="inlineStr">
        <is>
          <t>EXAMEN Y PROCEDIMIENTOS</t>
        </is>
      </c>
      <c r="E143" s="4" t="n">
        <v>46303</v>
      </c>
      <c r="F143" s="3" t="inlineStr">
        <is>
          <t>Jueves</t>
        </is>
      </c>
      <c r="G143" s="4" t="n">
        <v>46300</v>
      </c>
      <c r="H143" s="3" t="inlineStr">
        <is>
          <t>Tarde C/sábado</t>
        </is>
      </c>
      <c r="I143" s="3" t="inlineStr">
        <is>
          <t>TRABAJA</t>
        </is>
      </c>
      <c r="J143" s="5" t="n">
        <v>0.5</v>
      </c>
      <c r="K143" s="5" t="n">
        <v>0.8333333333333334</v>
      </c>
      <c r="L143" s="5">
        <f>IF(COUNT(J143:K143)=2,K143-J143,0)</f>
        <v/>
      </c>
      <c r="M143" s="6">
        <f>L143*24</f>
        <v/>
      </c>
      <c r="N143" s="3" t="n">
        <v>60</v>
      </c>
      <c r="O143" s="6">
        <f>N143/60</f>
        <v/>
      </c>
      <c r="P143" s="6">
        <f>M143-O143</f>
        <v/>
      </c>
      <c r="Q143" s="6">
        <f>SUMIFS($P:$P,$A:$A,A143,$G:$G,G143)</f>
        <v/>
      </c>
      <c r="R143" s="5" t="n">
        <v>0.5833333333333334</v>
      </c>
      <c r="S143" s="5" t="n">
        <v>0.7708333333333334</v>
      </c>
      <c r="T143" s="5" t="n">
        <v>0.6458333333333334</v>
      </c>
      <c r="U143" s="5" t="n">
        <v>0.6875</v>
      </c>
      <c r="V143" s="3">
        <f>IF(COUNT(T143:U143)=2,ROUND((U143-T143)*1440,0),0)</f>
        <v/>
      </c>
    </row>
    <row r="144">
      <c r="A144" s="2" t="inlineStr">
        <is>
          <t>16666666-K</t>
        </is>
      </c>
      <c r="B144" s="3" t="inlineStr">
        <is>
          <t>Activo</t>
        </is>
      </c>
      <c r="C144" s="3" t="inlineStr">
        <is>
          <t>FELIPE VERA (EJEMPLO)</t>
        </is>
      </c>
      <c r="D144" s="3" t="inlineStr">
        <is>
          <t>EXAMEN Y PROCEDIMIENTOS</t>
        </is>
      </c>
      <c r="E144" s="4" t="n">
        <v>46304</v>
      </c>
      <c r="F144" s="3" t="inlineStr">
        <is>
          <t>Viernes</t>
        </is>
      </c>
      <c r="G144" s="4" t="n">
        <v>46300</v>
      </c>
      <c r="H144" s="3" t="inlineStr">
        <is>
          <t>Tarde C/sábado</t>
        </is>
      </c>
      <c r="I144" s="3" t="inlineStr">
        <is>
          <t>TRABAJA</t>
        </is>
      </c>
      <c r="J144" s="5" t="n">
        <v>0.5</v>
      </c>
      <c r="K144" s="5" t="n">
        <v>0.8333333333333334</v>
      </c>
      <c r="L144" s="5">
        <f>IF(COUNT(J144:K144)=2,K144-J144,0)</f>
        <v/>
      </c>
      <c r="M144" s="6">
        <f>L144*24</f>
        <v/>
      </c>
      <c r="N144" s="3" t="n">
        <v>60</v>
      </c>
      <c r="O144" s="6">
        <f>N144/60</f>
        <v/>
      </c>
      <c r="P144" s="6">
        <f>M144-O144</f>
        <v/>
      </c>
      <c r="Q144" s="6">
        <f>SUMIFS($P:$P,$A:$A,A144,$G:$G,G144)</f>
        <v/>
      </c>
      <c r="R144" s="5" t="n">
        <v>0.5833333333333334</v>
      </c>
      <c r="S144" s="5" t="n">
        <v>0.7708333333333334</v>
      </c>
      <c r="T144" s="5" t="n">
        <v>0.6458333333333334</v>
      </c>
      <c r="U144" s="5" t="n">
        <v>0.6875</v>
      </c>
      <c r="V144" s="3">
        <f>IF(COUNT(T144:U144)=2,ROUND((U144-T144)*1440,0),0)</f>
        <v/>
      </c>
    </row>
    <row r="145">
      <c r="A145" s="2" t="inlineStr">
        <is>
          <t>16666666-K</t>
        </is>
      </c>
      <c r="B145" s="3" t="inlineStr">
        <is>
          <t>Activo</t>
        </is>
      </c>
      <c r="C145" s="3" t="inlineStr">
        <is>
          <t>FELIPE VERA (EJEMPLO)</t>
        </is>
      </c>
      <c r="D145" s="3" t="inlineStr">
        <is>
          <t>EXAMEN Y PROCEDIMIENTOS</t>
        </is>
      </c>
      <c r="E145" s="4" t="n">
        <v>46305</v>
      </c>
      <c r="F145" s="3" t="inlineStr">
        <is>
          <t>Sábado</t>
        </is>
      </c>
      <c r="G145" s="4" t="n">
        <v>46300</v>
      </c>
      <c r="H145" s="3" t="inlineStr">
        <is>
          <t>Tarde C/sábado</t>
        </is>
      </c>
      <c r="I145" s="3" t="inlineStr">
        <is>
          <t>TRABAJA</t>
        </is>
      </c>
      <c r="J145" s="5" t="n">
        <v>0.3333333333333333</v>
      </c>
      <c r="K145" s="5" t="n">
        <v>0.5833333333333334</v>
      </c>
      <c r="L145" s="5">
        <f>IF(COUNT(J145:K145)=2,K145-J145,0)</f>
        <v/>
      </c>
      <c r="M145" s="6">
        <f>L145*24</f>
        <v/>
      </c>
      <c r="N145" s="3" t="n">
        <v>30</v>
      </c>
      <c r="O145" s="6">
        <f>N145/60</f>
        <v/>
      </c>
      <c r="P145" s="6">
        <f>M145-O145</f>
        <v/>
      </c>
      <c r="Q145" s="6">
        <f>SUMIFS($P:$P,$A:$A,A145,$G:$G,G145)</f>
        <v/>
      </c>
      <c r="R145" s="5" t="n"/>
      <c r="S145" s="5" t="n"/>
      <c r="T145" s="5" t="n">
        <v>0.4583333333333333</v>
      </c>
      <c r="U145" s="5" t="n">
        <v>0.4791666666666667</v>
      </c>
      <c r="V145" s="3">
        <f>IF(COUNT(T145:U145)=2,ROUND((U145-T145)*1440,0),0)</f>
        <v/>
      </c>
    </row>
    <row r="146">
      <c r="A146" s="2" t="inlineStr">
        <is>
          <t>16666666-K</t>
        </is>
      </c>
      <c r="B146" s="3" t="inlineStr">
        <is>
          <t>Activo</t>
        </is>
      </c>
      <c r="C146" s="3" t="inlineStr">
        <is>
          <t>FELIPE VERA (EJEMPLO)</t>
        </is>
      </c>
      <c r="D146" s="3" t="inlineStr">
        <is>
          <t>EXAMEN Y PROCEDIMIENTOS</t>
        </is>
      </c>
      <c r="E146" s="4" t="n">
        <v>46307</v>
      </c>
      <c r="F146" s="3" t="inlineStr">
        <is>
          <t>Lunes</t>
        </is>
      </c>
      <c r="G146" s="4" t="n">
        <v>46307</v>
      </c>
      <c r="H146" s="3" t="inlineStr">
        <is>
          <t>Mañana S/sábado</t>
        </is>
      </c>
      <c r="I146" s="3" t="inlineStr">
        <is>
          <t>FERIADO</t>
        </is>
      </c>
      <c r="J146" s="5" t="n"/>
      <c r="K146" s="5" t="n"/>
      <c r="L146" s="5">
        <f>IF(COUNT(J146:K146)=2,K146-J146,0)</f>
        <v/>
      </c>
      <c r="M146" s="6">
        <f>L146*24</f>
        <v/>
      </c>
      <c r="N146" s="3" t="n">
        <v>0</v>
      </c>
      <c r="O146" s="6">
        <f>N146/60</f>
        <v/>
      </c>
      <c r="P146" s="6">
        <f>M146-O146</f>
        <v/>
      </c>
      <c r="Q146" s="6">
        <f>SUMIFS($P:$P,$A:$A,A146,$G:$G,G146)</f>
        <v/>
      </c>
      <c r="R146" s="5" t="n"/>
      <c r="S146" s="5" t="n"/>
      <c r="T146" s="5" t="n"/>
      <c r="U146" s="5" t="n"/>
      <c r="V146" s="3">
        <f>IF(COUNT(T146:U146)=2,ROUND((U146-T146)*1440,0),0)</f>
        <v/>
      </c>
    </row>
    <row r="147">
      <c r="A147" s="2" t="inlineStr">
        <is>
          <t>16666666-K</t>
        </is>
      </c>
      <c r="B147" s="3" t="inlineStr">
        <is>
          <t>Activo</t>
        </is>
      </c>
      <c r="C147" s="3" t="inlineStr">
        <is>
          <t>FELIPE VERA (EJEMPLO)</t>
        </is>
      </c>
      <c r="D147" s="3" t="inlineStr">
        <is>
          <t>EXAMEN Y PROCEDIMIENTOS</t>
        </is>
      </c>
      <c r="E147" s="4" t="n">
        <v>46308</v>
      </c>
      <c r="F147" s="3" t="inlineStr">
        <is>
          <t>Martes</t>
        </is>
      </c>
      <c r="G147" s="4" t="n">
        <v>46307</v>
      </c>
      <c r="H147" s="3" t="inlineStr">
        <is>
          <t>Mañana S/sábado</t>
        </is>
      </c>
      <c r="I147" s="3" t="inlineStr">
        <is>
          <t>TRABAJA</t>
        </is>
      </c>
      <c r="J147" s="5" t="n">
        <v>0.3333333333333333</v>
      </c>
      <c r="K147" s="5" t="n">
        <v>0.7291666666666666</v>
      </c>
      <c r="L147" s="5">
        <f>IF(COUNT(J147:K147)=2,K147-J147,0)</f>
        <v/>
      </c>
      <c r="M147" s="6">
        <f>L147*24</f>
        <v/>
      </c>
      <c r="N147" s="3" t="n">
        <v>60</v>
      </c>
      <c r="O147" s="6">
        <f>N147/60</f>
        <v/>
      </c>
      <c r="P147" s="6">
        <f>M147-O147</f>
        <v/>
      </c>
      <c r="Q147" s="6">
        <f>SUMIFS($P:$P,$A:$A,A147,$G:$G,G147)</f>
        <v/>
      </c>
      <c r="R147" s="5" t="n">
        <v>0.4270833333333333</v>
      </c>
      <c r="S147" s="5" t="n">
        <v>0.6666666666666666</v>
      </c>
      <c r="T147" s="5" t="n">
        <v>0.5104166666666666</v>
      </c>
      <c r="U147" s="5" t="n">
        <v>0.5520833333333334</v>
      </c>
      <c r="V147" s="3">
        <f>IF(COUNT(T147:U147)=2,ROUND((U147-T147)*1440,0),0)</f>
        <v/>
      </c>
    </row>
    <row r="148">
      <c r="A148" s="2" t="inlineStr">
        <is>
          <t>16666666-K</t>
        </is>
      </c>
      <c r="B148" s="3" t="inlineStr">
        <is>
          <t>Activo</t>
        </is>
      </c>
      <c r="C148" s="3" t="inlineStr">
        <is>
          <t>FELIPE VERA (EJEMPLO)</t>
        </is>
      </c>
      <c r="D148" s="3" t="inlineStr">
        <is>
          <t>EXAMEN Y PROCEDIMIENTOS</t>
        </is>
      </c>
      <c r="E148" s="4" t="n">
        <v>46309</v>
      </c>
      <c r="F148" s="3" t="inlineStr">
        <is>
          <t>Miércoles</t>
        </is>
      </c>
      <c r="G148" s="4" t="n">
        <v>46307</v>
      </c>
      <c r="H148" s="3" t="inlineStr">
        <is>
          <t>Mañana S/sábado</t>
        </is>
      </c>
      <c r="I148" s="3" t="inlineStr">
        <is>
          <t>TRABAJA</t>
        </is>
      </c>
      <c r="J148" s="5" t="n">
        <v>0.3333333333333333</v>
      </c>
      <c r="K148" s="5" t="n">
        <v>0.7291666666666666</v>
      </c>
      <c r="L148" s="5">
        <f>IF(COUNT(J148:K148)=2,K148-J148,0)</f>
        <v/>
      </c>
      <c r="M148" s="6">
        <f>L148*24</f>
        <v/>
      </c>
      <c r="N148" s="3" t="n">
        <v>60</v>
      </c>
      <c r="O148" s="6">
        <f>N148/60</f>
        <v/>
      </c>
      <c r="P148" s="6">
        <f>M148-O148</f>
        <v/>
      </c>
      <c r="Q148" s="6">
        <f>SUMIFS($P:$P,$A:$A,A148,$G:$G,G148)</f>
        <v/>
      </c>
      <c r="R148" s="5" t="n">
        <v>0.4479166666666667</v>
      </c>
      <c r="S148" s="5" t="n">
        <v>0.6875</v>
      </c>
      <c r="T148" s="5" t="n">
        <v>0.5520833333333334</v>
      </c>
      <c r="U148" s="5" t="n">
        <v>0.59375</v>
      </c>
      <c r="V148" s="3">
        <f>IF(COUNT(T148:U148)=2,ROUND((U148-T148)*1440,0),0)</f>
        <v/>
      </c>
    </row>
    <row r="149">
      <c r="A149" s="2" t="inlineStr">
        <is>
          <t>16666666-K</t>
        </is>
      </c>
      <c r="B149" s="3" t="inlineStr">
        <is>
          <t>Activo</t>
        </is>
      </c>
      <c r="C149" s="3" t="inlineStr">
        <is>
          <t>FELIPE VERA (EJEMPLO)</t>
        </is>
      </c>
      <c r="D149" s="3" t="inlineStr">
        <is>
          <t>EXAMEN Y PROCEDIMIENTOS</t>
        </is>
      </c>
      <c r="E149" s="4" t="n">
        <v>46310</v>
      </c>
      <c r="F149" s="3" t="inlineStr">
        <is>
          <t>Jueves</t>
        </is>
      </c>
      <c r="G149" s="4" t="n">
        <v>46307</v>
      </c>
      <c r="H149" s="3" t="inlineStr">
        <is>
          <t>Mañana S/sábado</t>
        </is>
      </c>
      <c r="I149" s="3" t="inlineStr">
        <is>
          <t>TRABAJA</t>
        </is>
      </c>
      <c r="J149" s="5" t="n">
        <v>0.3333333333333333</v>
      </c>
      <c r="K149" s="5" t="n">
        <v>0.7291666666666666</v>
      </c>
      <c r="L149" s="5">
        <f>IF(COUNT(J149:K149)=2,K149-J149,0)</f>
        <v/>
      </c>
      <c r="M149" s="6">
        <f>L149*24</f>
        <v/>
      </c>
      <c r="N149" s="3" t="n">
        <v>60</v>
      </c>
      <c r="O149" s="6">
        <f>N149/60</f>
        <v/>
      </c>
      <c r="P149" s="6">
        <f>M149-O149</f>
        <v/>
      </c>
      <c r="Q149" s="6">
        <f>SUMIFS($P:$P,$A:$A,A149,$G:$G,G149)</f>
        <v/>
      </c>
      <c r="R149" s="5" t="n">
        <v>0.4479166666666667</v>
      </c>
      <c r="S149" s="5" t="n">
        <v>0.6979166666666666</v>
      </c>
      <c r="T149" s="5" t="n">
        <v>0.5625</v>
      </c>
      <c r="U149" s="5" t="n">
        <v>0.6041666666666666</v>
      </c>
      <c r="V149" s="3">
        <f>IF(COUNT(T149:U149)=2,ROUND((U149-T149)*1440,0),0)</f>
        <v/>
      </c>
    </row>
    <row r="150">
      <c r="A150" s="2" t="inlineStr">
        <is>
          <t>16666666-K</t>
        </is>
      </c>
      <c r="B150" s="3" t="inlineStr">
        <is>
          <t>Activo</t>
        </is>
      </c>
      <c r="C150" s="3" t="inlineStr">
        <is>
          <t>FELIPE VERA (EJEMPLO)</t>
        </is>
      </c>
      <c r="D150" s="3" t="inlineStr">
        <is>
          <t>EXAMEN Y PROCEDIMIENTOS</t>
        </is>
      </c>
      <c r="E150" s="4" t="n">
        <v>46311</v>
      </c>
      <c r="F150" s="3" t="inlineStr">
        <is>
          <t>Viernes</t>
        </is>
      </c>
      <c r="G150" s="4" t="n">
        <v>46307</v>
      </c>
      <c r="H150" s="3" t="inlineStr">
        <is>
          <t>Mañana S/sábado</t>
        </is>
      </c>
      <c r="I150" s="3" t="inlineStr">
        <is>
          <t>TRABAJA</t>
        </is>
      </c>
      <c r="J150" s="5" t="n">
        <v>0.3333333333333333</v>
      </c>
      <c r="K150" s="5" t="n">
        <v>0.7083333333333334</v>
      </c>
      <c r="L150" s="5">
        <f>IF(COUNT(J150:K150)=2,K150-J150,0)</f>
        <v/>
      </c>
      <c r="M150" s="6">
        <f>L150*24</f>
        <v/>
      </c>
      <c r="N150" s="3" t="n">
        <v>60</v>
      </c>
      <c r="O150" s="6">
        <f>N150/60</f>
        <v/>
      </c>
      <c r="P150" s="6">
        <f>M150-O150</f>
        <v/>
      </c>
      <c r="Q150" s="6">
        <f>SUMIFS($P:$P,$A:$A,A150,$G:$G,G150)</f>
        <v/>
      </c>
      <c r="R150" s="5" t="n">
        <v>0.4270833333333333</v>
      </c>
      <c r="S150" s="5" t="n">
        <v>0.6770833333333334</v>
      </c>
      <c r="T150" s="5" t="n">
        <v>0.5520833333333334</v>
      </c>
      <c r="U150" s="5" t="n">
        <v>0.59375</v>
      </c>
      <c r="V150" s="3">
        <f>IF(COUNT(T150:U150)=2,ROUND((U150-T150)*1440,0),0)</f>
        <v/>
      </c>
    </row>
    <row r="151">
      <c r="A151" s="2" t="inlineStr">
        <is>
          <t>16666666-K</t>
        </is>
      </c>
      <c r="B151" s="3" t="inlineStr">
        <is>
          <t>Activo</t>
        </is>
      </c>
      <c r="C151" s="3" t="inlineStr">
        <is>
          <t>FELIPE VERA (EJEMPLO)</t>
        </is>
      </c>
      <c r="D151" s="3" t="inlineStr">
        <is>
          <t>EXAMEN Y PROCEDIMIENTOS</t>
        </is>
      </c>
      <c r="E151" s="4" t="n">
        <v>46312</v>
      </c>
      <c r="F151" s="3" t="inlineStr">
        <is>
          <t>Sábado</t>
        </is>
      </c>
      <c r="G151" s="4" t="n">
        <v>46307</v>
      </c>
      <c r="H151" s="3" t="inlineStr">
        <is>
          <t>Mañana S/sábado</t>
        </is>
      </c>
      <c r="I151" s="3" t="inlineStr">
        <is>
          <t>LIBRE</t>
        </is>
      </c>
      <c r="J151" s="5" t="n"/>
      <c r="K151" s="5" t="n"/>
      <c r="L151" s="5">
        <f>IF(COUNT(J151:K151)=2,K151-J151,0)</f>
        <v/>
      </c>
      <c r="M151" s="6">
        <f>L151*24</f>
        <v/>
      </c>
      <c r="N151" s="3" t="n">
        <v>0</v>
      </c>
      <c r="O151" s="6">
        <f>N151/60</f>
        <v/>
      </c>
      <c r="P151" s="6">
        <f>M151-O151</f>
        <v/>
      </c>
      <c r="Q151" s="6">
        <f>SUMIFS($P:$P,$A:$A,A151,$G:$G,G151)</f>
        <v/>
      </c>
      <c r="R151" s="5" t="n"/>
      <c r="S151" s="5" t="n"/>
      <c r="T151" s="5" t="n"/>
      <c r="U151" s="5" t="n"/>
      <c r="V151" s="3">
        <f>IF(COUNT(T151:U151)=2,ROUND((U151-T151)*1440,0),0)</f>
        <v/>
      </c>
    </row>
    <row r="152">
      <c r="A152" s="2" t="inlineStr">
        <is>
          <t>16666666-K</t>
        </is>
      </c>
      <c r="B152" s="3" t="inlineStr">
        <is>
          <t>Activo</t>
        </is>
      </c>
      <c r="C152" s="3" t="inlineStr">
        <is>
          <t>FELIPE VERA (EJEMPLO)</t>
        </is>
      </c>
      <c r="D152" s="3" t="inlineStr">
        <is>
          <t>EXAMEN Y PROCEDIMIENTOS</t>
        </is>
      </c>
      <c r="E152" s="4" t="n">
        <v>46314</v>
      </c>
      <c r="F152" s="3" t="inlineStr">
        <is>
          <t>Lunes</t>
        </is>
      </c>
      <c r="G152" s="4" t="n">
        <v>46314</v>
      </c>
      <c r="H152" s="3" t="inlineStr">
        <is>
          <t>Intermedio S/sábado</t>
        </is>
      </c>
      <c r="I152" s="3" t="inlineStr">
        <is>
          <t>TRABAJA</t>
        </is>
      </c>
      <c r="J152" s="5" t="n">
        <v>0.375</v>
      </c>
      <c r="K152" s="5" t="n">
        <v>0.7916666666666666</v>
      </c>
      <c r="L152" s="5">
        <f>IF(COUNT(J152:K152)=2,K152-J152,0)</f>
        <v/>
      </c>
      <c r="M152" s="6">
        <f>L152*24</f>
        <v/>
      </c>
      <c r="N152" s="3" t="n">
        <v>60</v>
      </c>
      <c r="O152" s="6">
        <f>N152/60</f>
        <v/>
      </c>
      <c r="P152" s="6">
        <f>M152-O152</f>
        <v/>
      </c>
      <c r="Q152" s="6">
        <f>SUMIFS($P:$P,$A:$A,A152,$G:$G,G152)</f>
        <v/>
      </c>
      <c r="R152" s="5" t="n">
        <v>0.4895833333333333</v>
      </c>
      <c r="S152" s="5" t="n">
        <v>0.7604166666666666</v>
      </c>
      <c r="T152" s="5" t="n">
        <v>0.625</v>
      </c>
      <c r="U152" s="5" t="n">
        <v>0.6666666666666666</v>
      </c>
      <c r="V152" s="3">
        <f>IF(COUNT(T152:U152)=2,ROUND((U152-T152)*1440,0),0)</f>
        <v/>
      </c>
    </row>
    <row r="153">
      <c r="A153" s="2" t="inlineStr">
        <is>
          <t>16666666-K</t>
        </is>
      </c>
      <c r="B153" s="3" t="inlineStr">
        <is>
          <t>Activo</t>
        </is>
      </c>
      <c r="C153" s="3" t="inlineStr">
        <is>
          <t>FELIPE VERA (EJEMPLO)</t>
        </is>
      </c>
      <c r="D153" s="3" t="inlineStr">
        <is>
          <t>EXAMEN Y PROCEDIMIENTOS</t>
        </is>
      </c>
      <c r="E153" s="4" t="n">
        <v>46315</v>
      </c>
      <c r="F153" s="3" t="inlineStr">
        <is>
          <t>Martes</t>
        </is>
      </c>
      <c r="G153" s="4" t="n">
        <v>46314</v>
      </c>
      <c r="H153" s="3" t="inlineStr">
        <is>
          <t>Intermedio S/sábado</t>
        </is>
      </c>
      <c r="I153" s="3" t="inlineStr">
        <is>
          <t>TRABAJA</t>
        </is>
      </c>
      <c r="J153" s="5" t="n">
        <v>0.375</v>
      </c>
      <c r="K153" s="5" t="n">
        <v>0.7916666666666666</v>
      </c>
      <c r="L153" s="5">
        <f>IF(COUNT(J153:K153)=2,K153-J153,0)</f>
        <v/>
      </c>
      <c r="M153" s="6">
        <f>L153*24</f>
        <v/>
      </c>
      <c r="N153" s="3" t="n">
        <v>60</v>
      </c>
      <c r="O153" s="6">
        <f>N153/60</f>
        <v/>
      </c>
      <c r="P153" s="6">
        <f>M153-O153</f>
        <v/>
      </c>
      <c r="Q153" s="6">
        <f>SUMIFS($P:$P,$A:$A,A153,$G:$G,G153)</f>
        <v/>
      </c>
      <c r="R153" s="5" t="n">
        <v>0.4895833333333333</v>
      </c>
      <c r="S153" s="5" t="n">
        <v>0.7604166666666666</v>
      </c>
      <c r="T153" s="5" t="n">
        <v>0.625</v>
      </c>
      <c r="U153" s="5" t="n">
        <v>0.6666666666666666</v>
      </c>
      <c r="V153" s="3">
        <f>IF(COUNT(T153:U153)=2,ROUND((U153-T153)*1440,0),0)</f>
        <v/>
      </c>
    </row>
    <row r="154">
      <c r="A154" s="2" t="inlineStr">
        <is>
          <t>16666666-K</t>
        </is>
      </c>
      <c r="B154" s="3" t="inlineStr">
        <is>
          <t>Activo</t>
        </is>
      </c>
      <c r="C154" s="3" t="inlineStr">
        <is>
          <t>FELIPE VERA (EJEMPLO)</t>
        </is>
      </c>
      <c r="D154" s="3" t="inlineStr">
        <is>
          <t>EXAMEN Y PROCEDIMIENTOS</t>
        </is>
      </c>
      <c r="E154" s="4" t="n">
        <v>46316</v>
      </c>
      <c r="F154" s="3" t="inlineStr">
        <is>
          <t>Miércoles</t>
        </is>
      </c>
      <c r="G154" s="4" t="n">
        <v>46314</v>
      </c>
      <c r="H154" s="3" t="inlineStr">
        <is>
          <t>Intermedio S/sábado</t>
        </is>
      </c>
      <c r="I154" s="3" t="inlineStr">
        <is>
          <t>TRABAJA</t>
        </is>
      </c>
      <c r="J154" s="5" t="n">
        <v>0.375</v>
      </c>
      <c r="K154" s="5" t="n">
        <v>0.75</v>
      </c>
      <c r="L154" s="5">
        <f>IF(COUNT(J154:K154)=2,K154-J154,0)</f>
        <v/>
      </c>
      <c r="M154" s="6">
        <f>L154*24</f>
        <v/>
      </c>
      <c r="N154" s="3" t="n">
        <v>60</v>
      </c>
      <c r="O154" s="6">
        <f>N154/60</f>
        <v/>
      </c>
      <c r="P154" s="6">
        <f>M154-O154</f>
        <v/>
      </c>
      <c r="Q154" s="6">
        <f>SUMIFS($P:$P,$A:$A,A154,$G:$G,G154)</f>
        <v/>
      </c>
      <c r="R154" s="5" t="n">
        <v>0.4791666666666667</v>
      </c>
      <c r="S154" s="5" t="n">
        <v>0.71875</v>
      </c>
      <c r="T154" s="5" t="n">
        <v>0.59375</v>
      </c>
      <c r="U154" s="5" t="n">
        <v>0.6354166666666666</v>
      </c>
      <c r="V154" s="3">
        <f>IF(COUNT(T154:U154)=2,ROUND((U154-T154)*1440,0),0)</f>
        <v/>
      </c>
    </row>
    <row r="155">
      <c r="A155" s="2" t="inlineStr">
        <is>
          <t>16666666-K</t>
        </is>
      </c>
      <c r="B155" s="3" t="inlineStr">
        <is>
          <t>Activo</t>
        </is>
      </c>
      <c r="C155" s="3" t="inlineStr">
        <is>
          <t>FELIPE VERA (EJEMPLO)</t>
        </is>
      </c>
      <c r="D155" s="3" t="inlineStr">
        <is>
          <t>EXAMEN Y PROCEDIMIENTOS</t>
        </is>
      </c>
      <c r="E155" s="4" t="n">
        <v>46317</v>
      </c>
      <c r="F155" s="3" t="inlineStr">
        <is>
          <t>Jueves</t>
        </is>
      </c>
      <c r="G155" s="4" t="n">
        <v>46314</v>
      </c>
      <c r="H155" s="3" t="inlineStr">
        <is>
          <t>Intermedio S/sábado</t>
        </is>
      </c>
      <c r="I155" s="3" t="inlineStr">
        <is>
          <t>TRABAJA</t>
        </is>
      </c>
      <c r="J155" s="5" t="n">
        <v>0.375</v>
      </c>
      <c r="K155" s="5" t="n">
        <v>0.75</v>
      </c>
      <c r="L155" s="5">
        <f>IF(COUNT(J155:K155)=2,K155-J155,0)</f>
        <v/>
      </c>
      <c r="M155" s="6">
        <f>L155*24</f>
        <v/>
      </c>
      <c r="N155" s="3" t="n">
        <v>60</v>
      </c>
      <c r="O155" s="6">
        <f>N155/60</f>
        <v/>
      </c>
      <c r="P155" s="6">
        <f>M155-O155</f>
        <v/>
      </c>
      <c r="Q155" s="6">
        <f>SUMIFS($P:$P,$A:$A,A155,$G:$G,G155)</f>
        <v/>
      </c>
      <c r="R155" s="5" t="n">
        <v>0.46875</v>
      </c>
      <c r="S155" s="5" t="n">
        <v>0.7083333333333334</v>
      </c>
      <c r="T155" s="5" t="n">
        <v>0.5520833333333334</v>
      </c>
      <c r="U155" s="5" t="n">
        <v>0.59375</v>
      </c>
      <c r="V155" s="3">
        <f>IF(COUNT(T155:U155)=2,ROUND((U155-T155)*1440,0),0)</f>
        <v/>
      </c>
    </row>
    <row r="156">
      <c r="A156" s="2" t="inlineStr">
        <is>
          <t>16666666-K</t>
        </is>
      </c>
      <c r="B156" s="3" t="inlineStr">
        <is>
          <t>Activo</t>
        </is>
      </c>
      <c r="C156" s="3" t="inlineStr">
        <is>
          <t>FELIPE VERA (EJEMPLO)</t>
        </is>
      </c>
      <c r="D156" s="3" t="inlineStr">
        <is>
          <t>EXAMEN Y PROCEDIMIENTOS</t>
        </is>
      </c>
      <c r="E156" s="4" t="n">
        <v>46318</v>
      </c>
      <c r="F156" s="3" t="inlineStr">
        <is>
          <t>Viernes</t>
        </is>
      </c>
      <c r="G156" s="4" t="n">
        <v>46314</v>
      </c>
      <c r="H156" s="3" t="inlineStr">
        <is>
          <t>Intermedio S/sábado</t>
        </is>
      </c>
      <c r="I156" s="3" t="inlineStr">
        <is>
          <t>TRABAJA</t>
        </is>
      </c>
      <c r="J156" s="5" t="n">
        <v>0.375</v>
      </c>
      <c r="K156" s="5" t="n">
        <v>0.75</v>
      </c>
      <c r="L156" s="5">
        <f>IF(COUNT(J156:K156)=2,K156-J156,0)</f>
        <v/>
      </c>
      <c r="M156" s="6">
        <f>L156*24</f>
        <v/>
      </c>
      <c r="N156" s="3" t="n">
        <v>60</v>
      </c>
      <c r="O156" s="6">
        <f>N156/60</f>
        <v/>
      </c>
      <c r="P156" s="6">
        <f>M156-O156</f>
        <v/>
      </c>
      <c r="Q156" s="6">
        <f>SUMIFS($P:$P,$A:$A,A156,$G:$G,G156)</f>
        <v/>
      </c>
      <c r="R156" s="5" t="n">
        <v>0.46875</v>
      </c>
      <c r="S156" s="5" t="n">
        <v>0.71875</v>
      </c>
      <c r="T156" s="5" t="n">
        <v>0.59375</v>
      </c>
      <c r="U156" s="5" t="n">
        <v>0.6354166666666666</v>
      </c>
      <c r="V156" s="3">
        <f>IF(COUNT(T156:U156)=2,ROUND((U156-T156)*1440,0),0)</f>
        <v/>
      </c>
    </row>
    <row r="157">
      <c r="A157" s="2" t="inlineStr">
        <is>
          <t>16666666-K</t>
        </is>
      </c>
      <c r="B157" s="3" t="inlineStr">
        <is>
          <t>Activo</t>
        </is>
      </c>
      <c r="C157" s="3" t="inlineStr">
        <is>
          <t>FELIPE VERA (EJEMPLO)</t>
        </is>
      </c>
      <c r="D157" s="3" t="inlineStr">
        <is>
          <t>EXAMEN Y PROCEDIMIENTOS</t>
        </is>
      </c>
      <c r="E157" s="4" t="n">
        <v>46319</v>
      </c>
      <c r="F157" s="3" t="inlineStr">
        <is>
          <t>Sábado</t>
        </is>
      </c>
      <c r="G157" s="4" t="n">
        <v>46314</v>
      </c>
      <c r="H157" s="3" t="inlineStr">
        <is>
          <t>Intermedio S/sábado</t>
        </is>
      </c>
      <c r="I157" s="3" t="inlineStr">
        <is>
          <t>LIBRE</t>
        </is>
      </c>
      <c r="J157" s="5" t="n"/>
      <c r="K157" s="5" t="n"/>
      <c r="L157" s="5">
        <f>IF(COUNT(J157:K157)=2,K157-J157,0)</f>
        <v/>
      </c>
      <c r="M157" s="6">
        <f>L157*24</f>
        <v/>
      </c>
      <c r="N157" s="3" t="n">
        <v>0</v>
      </c>
      <c r="O157" s="6">
        <f>N157/60</f>
        <v/>
      </c>
      <c r="P157" s="6">
        <f>M157-O157</f>
        <v/>
      </c>
      <c r="Q157" s="6">
        <f>SUMIFS($P:$P,$A:$A,A157,$G:$G,G157)</f>
        <v/>
      </c>
      <c r="R157" s="5" t="n"/>
      <c r="S157" s="5" t="n"/>
      <c r="T157" s="5" t="n"/>
      <c r="U157" s="5" t="n"/>
      <c r="V157" s="3">
        <f>IF(COUNT(T157:U157)=2,ROUND((U157-T157)*1440,0),0)</f>
        <v/>
      </c>
    </row>
    <row r="158">
      <c r="A158" s="2" t="inlineStr">
        <is>
          <t>16666666-K</t>
        </is>
      </c>
      <c r="B158" s="3" t="inlineStr">
        <is>
          <t>Activo</t>
        </is>
      </c>
      <c r="C158" s="3" t="inlineStr">
        <is>
          <t>FELIPE VERA (EJEMPLO)</t>
        </is>
      </c>
      <c r="D158" s="3" t="inlineStr">
        <is>
          <t>EXAMEN Y PROCEDIMIENTOS</t>
        </is>
      </c>
      <c r="E158" s="4" t="n">
        <v>46321</v>
      </c>
      <c r="F158" s="3" t="inlineStr">
        <is>
          <t>Lunes</t>
        </is>
      </c>
      <c r="G158" s="4" t="n">
        <v>46321</v>
      </c>
      <c r="H158" s="3" t="inlineStr">
        <is>
          <t>Mañana C/sábado</t>
        </is>
      </c>
      <c r="I158" s="3" t="inlineStr">
        <is>
          <t>TRABAJA</t>
        </is>
      </c>
      <c r="J158" s="5" t="n">
        <v>0.3333333333333333</v>
      </c>
      <c r="K158" s="5" t="n">
        <v>0.6875</v>
      </c>
      <c r="L158" s="5">
        <f>IF(COUNT(J158:K158)=2,K158-J158,0)</f>
        <v/>
      </c>
      <c r="M158" s="6">
        <f>L158*24</f>
        <v/>
      </c>
      <c r="N158" s="3" t="n">
        <v>60</v>
      </c>
      <c r="O158" s="6">
        <f>N158/60</f>
        <v/>
      </c>
      <c r="P158" s="6">
        <f>M158-O158</f>
        <v/>
      </c>
      <c r="Q158" s="6">
        <f>SUMIFS($P:$P,$A:$A,A158,$G:$G,G158)</f>
        <v/>
      </c>
      <c r="R158" s="5" t="n">
        <v>0.4270833333333333</v>
      </c>
      <c r="S158" s="5" t="n">
        <v>0.65625</v>
      </c>
      <c r="T158" s="5" t="n">
        <v>0.4895833333333333</v>
      </c>
      <c r="U158" s="5" t="n">
        <v>0.53125</v>
      </c>
      <c r="V158" s="3">
        <f>IF(COUNT(T158:U158)=2,ROUND((U158-T158)*1440,0),0)</f>
        <v/>
      </c>
    </row>
    <row r="159">
      <c r="A159" s="2" t="inlineStr">
        <is>
          <t>16666666-K</t>
        </is>
      </c>
      <c r="B159" s="3" t="inlineStr">
        <is>
          <t>Activo</t>
        </is>
      </c>
      <c r="C159" s="3" t="inlineStr">
        <is>
          <t>FELIPE VERA (EJEMPLO)</t>
        </is>
      </c>
      <c r="D159" s="3" t="inlineStr">
        <is>
          <t>EXAMEN Y PROCEDIMIENTOS</t>
        </is>
      </c>
      <c r="E159" s="4" t="n">
        <v>46322</v>
      </c>
      <c r="F159" s="3" t="inlineStr">
        <is>
          <t>Martes</t>
        </is>
      </c>
      <c r="G159" s="4" t="n">
        <v>46321</v>
      </c>
      <c r="H159" s="3" t="inlineStr">
        <is>
          <t>Mañana C/sábado</t>
        </is>
      </c>
      <c r="I159" s="3" t="inlineStr">
        <is>
          <t>TRABAJA</t>
        </is>
      </c>
      <c r="J159" s="5" t="n">
        <v>0.3333333333333333</v>
      </c>
      <c r="K159" s="5" t="n">
        <v>0.6875</v>
      </c>
      <c r="L159" s="5">
        <f>IF(COUNT(J159:K159)=2,K159-J159,0)</f>
        <v/>
      </c>
      <c r="M159" s="6">
        <f>L159*24</f>
        <v/>
      </c>
      <c r="N159" s="3" t="n">
        <v>60</v>
      </c>
      <c r="O159" s="6">
        <f>N159/60</f>
        <v/>
      </c>
      <c r="P159" s="6">
        <f>M159-O159</f>
        <v/>
      </c>
      <c r="Q159" s="6">
        <f>SUMIFS($P:$P,$A:$A,A159,$G:$G,G159)</f>
        <v/>
      </c>
      <c r="R159" s="5" t="n">
        <v>0.4270833333333333</v>
      </c>
      <c r="S159" s="5" t="n">
        <v>0.65625</v>
      </c>
      <c r="T159" s="5" t="n">
        <v>0.4895833333333333</v>
      </c>
      <c r="U159" s="5" t="n">
        <v>0.53125</v>
      </c>
      <c r="V159" s="3">
        <f>IF(COUNT(T159:U159)=2,ROUND((U159-T159)*1440,0),0)</f>
        <v/>
      </c>
    </row>
    <row r="160">
      <c r="A160" s="2" t="inlineStr">
        <is>
          <t>16666666-K</t>
        </is>
      </c>
      <c r="B160" s="3" t="inlineStr">
        <is>
          <t>Activo</t>
        </is>
      </c>
      <c r="C160" s="3" t="inlineStr">
        <is>
          <t>FELIPE VERA (EJEMPLO)</t>
        </is>
      </c>
      <c r="D160" s="3" t="inlineStr">
        <is>
          <t>EXAMEN Y PROCEDIMIENTOS</t>
        </is>
      </c>
      <c r="E160" s="4" t="n">
        <v>46323</v>
      </c>
      <c r="F160" s="3" t="inlineStr">
        <is>
          <t>Miércoles</t>
        </is>
      </c>
      <c r="G160" s="4" t="n">
        <v>46321</v>
      </c>
      <c r="H160" s="3" t="inlineStr">
        <is>
          <t>Mañana C/sábado</t>
        </is>
      </c>
      <c r="I160" s="3" t="inlineStr">
        <is>
          <t>TRABAJA</t>
        </is>
      </c>
      <c r="J160" s="5" t="n">
        <v>0.3333333333333333</v>
      </c>
      <c r="K160" s="5" t="n">
        <v>0.6875</v>
      </c>
      <c r="L160" s="5">
        <f>IF(COUNT(J160:K160)=2,K160-J160,0)</f>
        <v/>
      </c>
      <c r="M160" s="6">
        <f>L160*24</f>
        <v/>
      </c>
      <c r="N160" s="3" t="n">
        <v>60</v>
      </c>
      <c r="O160" s="6">
        <f>N160/60</f>
        <v/>
      </c>
      <c r="P160" s="6">
        <f>M160-O160</f>
        <v/>
      </c>
      <c r="Q160" s="6">
        <f>SUMIFS($P:$P,$A:$A,A160,$G:$G,G160)</f>
        <v/>
      </c>
      <c r="R160" s="5" t="n">
        <v>0.4270833333333333</v>
      </c>
      <c r="S160" s="5" t="n">
        <v>0.6354166666666666</v>
      </c>
      <c r="T160" s="5" t="n">
        <v>0.5</v>
      </c>
      <c r="U160" s="5" t="n">
        <v>0.5416666666666666</v>
      </c>
      <c r="V160" s="3">
        <f>IF(COUNT(T160:U160)=2,ROUND((U160-T160)*1440,0),0)</f>
        <v/>
      </c>
    </row>
    <row r="161">
      <c r="A161" s="2" t="inlineStr">
        <is>
          <t>16666666-K</t>
        </is>
      </c>
      <c r="B161" s="3" t="inlineStr">
        <is>
          <t>Activo</t>
        </is>
      </c>
      <c r="C161" s="3" t="inlineStr">
        <is>
          <t>FELIPE VERA (EJEMPLO)</t>
        </is>
      </c>
      <c r="D161" s="3" t="inlineStr">
        <is>
          <t>EXAMEN Y PROCEDIMIENTOS</t>
        </is>
      </c>
      <c r="E161" s="4" t="n">
        <v>46324</v>
      </c>
      <c r="F161" s="3" t="inlineStr">
        <is>
          <t>Jueves</t>
        </is>
      </c>
      <c r="G161" s="4" t="n">
        <v>46321</v>
      </c>
      <c r="H161" s="3" t="inlineStr">
        <is>
          <t>Mañana C/sábado</t>
        </is>
      </c>
      <c r="I161" s="3" t="inlineStr">
        <is>
          <t>TRABAJA</t>
        </is>
      </c>
      <c r="J161" s="5" t="n">
        <v>0.3333333333333333</v>
      </c>
      <c r="K161" s="5" t="n">
        <v>0.6666666666666666</v>
      </c>
      <c r="L161" s="5">
        <f>IF(COUNT(J161:K161)=2,K161-J161,0)</f>
        <v/>
      </c>
      <c r="M161" s="6">
        <f>L161*24</f>
        <v/>
      </c>
      <c r="N161" s="3" t="n">
        <v>60</v>
      </c>
      <c r="O161" s="6">
        <f>N161/60</f>
        <v/>
      </c>
      <c r="P161" s="6">
        <f>M161-O161</f>
        <v/>
      </c>
      <c r="Q161" s="6">
        <f>SUMIFS($P:$P,$A:$A,A161,$G:$G,G161)</f>
        <v/>
      </c>
      <c r="R161" s="5" t="n">
        <v>0.4270833333333333</v>
      </c>
      <c r="S161" s="5" t="n">
        <v>0.6354166666666666</v>
      </c>
      <c r="T161" s="5" t="n">
        <v>0.5104166666666666</v>
      </c>
      <c r="U161" s="5" t="n">
        <v>0.5520833333333334</v>
      </c>
      <c r="V161" s="3">
        <f>IF(COUNT(T161:U161)=2,ROUND((U161-T161)*1440,0),0)</f>
        <v/>
      </c>
    </row>
    <row r="162">
      <c r="A162" s="2" t="inlineStr">
        <is>
          <t>16666666-K</t>
        </is>
      </c>
      <c r="B162" s="3" t="inlineStr">
        <is>
          <t>Activo</t>
        </is>
      </c>
      <c r="C162" s="3" t="inlineStr">
        <is>
          <t>FELIPE VERA (EJEMPLO)</t>
        </is>
      </c>
      <c r="D162" s="3" t="inlineStr">
        <is>
          <t>EXAMEN Y PROCEDIMIENTOS</t>
        </is>
      </c>
      <c r="E162" s="4" t="n">
        <v>46325</v>
      </c>
      <c r="F162" s="3" t="inlineStr">
        <is>
          <t>Viernes</t>
        </is>
      </c>
      <c r="G162" s="4" t="n">
        <v>46321</v>
      </c>
      <c r="H162" s="3" t="inlineStr">
        <is>
          <t>Mañana C/sábado</t>
        </is>
      </c>
      <c r="I162" s="3" t="inlineStr">
        <is>
          <t>TRABAJA</t>
        </is>
      </c>
      <c r="J162" s="5" t="n">
        <v>0.3333333333333333</v>
      </c>
      <c r="K162" s="5" t="n">
        <v>0.6666666666666666</v>
      </c>
      <c r="L162" s="5">
        <f>IF(COUNT(J162:K162)=2,K162-J162,0)</f>
        <v/>
      </c>
      <c r="M162" s="6">
        <f>L162*24</f>
        <v/>
      </c>
      <c r="N162" s="3" t="n">
        <v>60</v>
      </c>
      <c r="O162" s="6">
        <f>N162/60</f>
        <v/>
      </c>
      <c r="P162" s="6">
        <f>M162-O162</f>
        <v/>
      </c>
      <c r="Q162" s="6">
        <f>SUMIFS($P:$P,$A:$A,A162,$G:$G,G162)</f>
        <v/>
      </c>
      <c r="R162" s="5" t="n">
        <v>0.4270833333333333</v>
      </c>
      <c r="S162" s="5" t="n">
        <v>0.6354166666666666</v>
      </c>
      <c r="T162" s="5" t="n">
        <v>0.4791666666666667</v>
      </c>
      <c r="U162" s="5" t="n">
        <v>0.5208333333333334</v>
      </c>
      <c r="V162" s="3">
        <f>IF(COUNT(T162:U162)=2,ROUND((U162-T162)*1440,0),0)</f>
        <v/>
      </c>
    </row>
    <row r="163">
      <c r="A163" s="2" t="inlineStr">
        <is>
          <t>16666666-K</t>
        </is>
      </c>
      <c r="B163" s="3" t="inlineStr">
        <is>
          <t>Activo</t>
        </is>
      </c>
      <c r="C163" s="3" t="inlineStr">
        <is>
          <t>FELIPE VERA (EJEMPLO)</t>
        </is>
      </c>
      <c r="D163" s="3" t="inlineStr">
        <is>
          <t>EXAMEN Y PROCEDIMIENTOS</t>
        </is>
      </c>
      <c r="E163" s="4" t="n">
        <v>46326</v>
      </c>
      <c r="F163" s="3" t="inlineStr">
        <is>
          <t>Sábado</t>
        </is>
      </c>
      <c r="G163" s="4" t="n">
        <v>46321</v>
      </c>
      <c r="H163" s="3" t="inlineStr">
        <is>
          <t>Mañana C/sábado</t>
        </is>
      </c>
      <c r="I163" s="3" t="inlineStr">
        <is>
          <t>FERIADO</t>
        </is>
      </c>
      <c r="J163" s="5" t="n"/>
      <c r="K163" s="5" t="n"/>
      <c r="L163" s="5">
        <f>IF(COUNT(J163:K163)=2,K163-J163,0)</f>
        <v/>
      </c>
      <c r="M163" s="6">
        <f>L163*24</f>
        <v/>
      </c>
      <c r="N163" s="3" t="n">
        <v>0</v>
      </c>
      <c r="O163" s="6">
        <f>N163/60</f>
        <v/>
      </c>
      <c r="P163" s="6">
        <f>M163-O163</f>
        <v/>
      </c>
      <c r="Q163" s="6">
        <f>SUMIFS($P:$P,$A:$A,A163,$G:$G,G163)</f>
        <v/>
      </c>
      <c r="R163" s="5" t="n"/>
      <c r="S163" s="5" t="n"/>
      <c r="T163" s="5" t="n"/>
      <c r="U163" s="5" t="n"/>
      <c r="V163" s="3">
        <f>IF(COUNT(T163:U163)=2,ROUND((U163-T163)*1440,0),0)</f>
        <v/>
      </c>
    </row>
    <row r="164">
      <c r="A164" s="2" t="inlineStr">
        <is>
          <t>17777777-3</t>
        </is>
      </c>
      <c r="B164" s="3" t="inlineStr">
        <is>
          <t>Activo</t>
        </is>
      </c>
      <c r="C164" s="3" t="inlineStr">
        <is>
          <t>GABRIELA LAGOS (EJEMPLO)</t>
        </is>
      </c>
      <c r="D164" s="3" t="inlineStr">
        <is>
          <t>EXAMEN Y PROCEDIMIENTOS</t>
        </is>
      </c>
      <c r="E164" s="4" t="n">
        <v>46296</v>
      </c>
      <c r="F164" s="3" t="inlineStr">
        <is>
          <t>Jueves</t>
        </is>
      </c>
      <c r="G164" s="4" t="n">
        <v>46293</v>
      </c>
      <c r="H164" s="3" t="inlineStr">
        <is>
          <t>Mañana C/sábado</t>
        </is>
      </c>
      <c r="I164" s="3" t="inlineStr">
        <is>
          <t>TRABAJA</t>
        </is>
      </c>
      <c r="J164" s="5" t="n">
        <v>0.3333333333333333</v>
      </c>
      <c r="K164" s="5" t="n">
        <v>0.6666666666666666</v>
      </c>
      <c r="L164" s="5">
        <f>IF(COUNT(J164:K164)=2,K164-J164,0)</f>
        <v/>
      </c>
      <c r="M164" s="6">
        <f>L164*24</f>
        <v/>
      </c>
      <c r="N164" s="3" t="n">
        <v>60</v>
      </c>
      <c r="O164" s="6">
        <f>N164/60</f>
        <v/>
      </c>
      <c r="P164" s="6">
        <f>M164-O164</f>
        <v/>
      </c>
      <c r="Q164" s="6">
        <f>SUMIFS($P:$P,$A:$A,A164,$G:$G,G164)</f>
        <v/>
      </c>
      <c r="R164" s="5" t="n">
        <v>0.4270833333333333</v>
      </c>
      <c r="S164" s="5" t="n">
        <v>0.6354166666666666</v>
      </c>
      <c r="T164" s="5" t="n">
        <v>0.5</v>
      </c>
      <c r="U164" s="5" t="n">
        <v>0.5416666666666666</v>
      </c>
      <c r="V164" s="3">
        <f>IF(COUNT(T164:U164)=2,ROUND((U164-T164)*1440,0),0)</f>
        <v/>
      </c>
    </row>
    <row r="165">
      <c r="A165" s="2" t="inlineStr">
        <is>
          <t>17777777-3</t>
        </is>
      </c>
      <c r="B165" s="3" t="inlineStr">
        <is>
          <t>Activo</t>
        </is>
      </c>
      <c r="C165" s="3" t="inlineStr">
        <is>
          <t>GABRIELA LAGOS (EJEMPLO)</t>
        </is>
      </c>
      <c r="D165" s="3" t="inlineStr">
        <is>
          <t>EXAMEN Y PROCEDIMIENTOS</t>
        </is>
      </c>
      <c r="E165" s="4" t="n">
        <v>46297</v>
      </c>
      <c r="F165" s="3" t="inlineStr">
        <is>
          <t>Viernes</t>
        </is>
      </c>
      <c r="G165" s="4" t="n">
        <v>46293</v>
      </c>
      <c r="H165" s="3" t="inlineStr">
        <is>
          <t>Mañana C/sábado</t>
        </is>
      </c>
      <c r="I165" s="3" t="inlineStr">
        <is>
          <t>TRABAJA</t>
        </is>
      </c>
      <c r="J165" s="5" t="n">
        <v>0.3333333333333333</v>
      </c>
      <c r="K165" s="5" t="n">
        <v>0.6666666666666666</v>
      </c>
      <c r="L165" s="5">
        <f>IF(COUNT(J165:K165)=2,K165-J165,0)</f>
        <v/>
      </c>
      <c r="M165" s="6">
        <f>L165*24</f>
        <v/>
      </c>
      <c r="N165" s="3" t="n">
        <v>60</v>
      </c>
      <c r="O165" s="6">
        <f>N165/60</f>
        <v/>
      </c>
      <c r="P165" s="6">
        <f>M165-O165</f>
        <v/>
      </c>
      <c r="Q165" s="6">
        <f>SUMIFS($P:$P,$A:$A,A165,$G:$G,G165)</f>
        <v/>
      </c>
      <c r="R165" s="5" t="n">
        <v>0.4270833333333333</v>
      </c>
      <c r="S165" s="5" t="n">
        <v>0.6354166666666666</v>
      </c>
      <c r="T165" s="5" t="n">
        <v>0.5</v>
      </c>
      <c r="U165" s="5" t="n">
        <v>0.5416666666666666</v>
      </c>
      <c r="V165" s="3">
        <f>IF(COUNT(T165:U165)=2,ROUND((U165-T165)*1440,0),0)</f>
        <v/>
      </c>
    </row>
    <row r="166">
      <c r="A166" s="2" t="inlineStr">
        <is>
          <t>17777777-3</t>
        </is>
      </c>
      <c r="B166" s="3" t="inlineStr">
        <is>
          <t>Activo</t>
        </is>
      </c>
      <c r="C166" s="3" t="inlineStr">
        <is>
          <t>GABRIELA LAGOS (EJEMPLO)</t>
        </is>
      </c>
      <c r="D166" s="3" t="inlineStr">
        <is>
          <t>EXAMEN Y PROCEDIMIENTOS</t>
        </is>
      </c>
      <c r="E166" s="4" t="n">
        <v>46298</v>
      </c>
      <c r="F166" s="3" t="inlineStr">
        <is>
          <t>Sábado</t>
        </is>
      </c>
      <c r="G166" s="4" t="n">
        <v>46293</v>
      </c>
      <c r="H166" s="3" t="inlineStr">
        <is>
          <t>Mañana C/sábado</t>
        </is>
      </c>
      <c r="I166" s="3" t="inlineStr">
        <is>
          <t>TRABAJA</t>
        </is>
      </c>
      <c r="J166" s="5" t="n">
        <v>0.3333333333333333</v>
      </c>
      <c r="K166" s="5" t="n">
        <v>0.5833333333333334</v>
      </c>
      <c r="L166" s="5">
        <f>IF(COUNT(J166:K166)=2,K166-J166,0)</f>
        <v/>
      </c>
      <c r="M166" s="6">
        <f>L166*24</f>
        <v/>
      </c>
      <c r="N166" s="3" t="n">
        <v>30</v>
      </c>
      <c r="O166" s="6">
        <f>N166/60</f>
        <v/>
      </c>
      <c r="P166" s="6">
        <f>M166-O166</f>
        <v/>
      </c>
      <c r="Q166" s="6">
        <f>SUMIFS($P:$P,$A:$A,A166,$G:$G,G166)</f>
        <v/>
      </c>
      <c r="R166" s="5" t="n"/>
      <c r="S166" s="5" t="n"/>
      <c r="T166" s="5" t="n">
        <v>0.4375</v>
      </c>
      <c r="U166" s="5" t="n">
        <v>0.4583333333333333</v>
      </c>
      <c r="V166" s="3">
        <f>IF(COUNT(T166:U166)=2,ROUND((U166-T166)*1440,0),0)</f>
        <v/>
      </c>
    </row>
    <row r="167">
      <c r="A167" s="2" t="inlineStr">
        <is>
          <t>17777777-3</t>
        </is>
      </c>
      <c r="B167" s="3" t="inlineStr">
        <is>
          <t>Activo</t>
        </is>
      </c>
      <c r="C167" s="3" t="inlineStr">
        <is>
          <t>GABRIELA LAGOS (EJEMPLO)</t>
        </is>
      </c>
      <c r="D167" s="3" t="inlineStr">
        <is>
          <t>EXAMEN Y PROCEDIMIENTOS</t>
        </is>
      </c>
      <c r="E167" s="4" t="n">
        <v>46300</v>
      </c>
      <c r="F167" s="3" t="inlineStr">
        <is>
          <t>Lunes</t>
        </is>
      </c>
      <c r="G167" s="4" t="n">
        <v>46300</v>
      </c>
      <c r="H167" s="3" t="inlineStr">
        <is>
          <t>Intermedio S/sábado</t>
        </is>
      </c>
      <c r="I167" s="3" t="inlineStr">
        <is>
          <t>TRABAJA</t>
        </is>
      </c>
      <c r="J167" s="5" t="n">
        <v>0.375</v>
      </c>
      <c r="K167" s="5" t="n">
        <v>0.7916666666666666</v>
      </c>
      <c r="L167" s="5">
        <f>IF(COUNT(J167:K167)=2,K167-J167,0)</f>
        <v/>
      </c>
      <c r="M167" s="6">
        <f>L167*24</f>
        <v/>
      </c>
      <c r="N167" s="3" t="n">
        <v>60</v>
      </c>
      <c r="O167" s="6">
        <f>N167/60</f>
        <v/>
      </c>
      <c r="P167" s="6">
        <f>M167-O167</f>
        <v/>
      </c>
      <c r="Q167" s="6">
        <f>SUMIFS($P:$P,$A:$A,A167,$G:$G,G167)</f>
        <v/>
      </c>
      <c r="R167" s="5" t="n">
        <v>0.4583333333333333</v>
      </c>
      <c r="S167" s="5" t="n">
        <v>0.7083333333333334</v>
      </c>
      <c r="T167" s="5" t="n">
        <v>0.5520833333333334</v>
      </c>
      <c r="U167" s="5" t="n">
        <v>0.59375</v>
      </c>
      <c r="V167" s="3">
        <f>IF(COUNT(T167:U167)=2,ROUND((U167-T167)*1440,0),0)</f>
        <v/>
      </c>
    </row>
    <row r="168">
      <c r="A168" s="2" t="inlineStr">
        <is>
          <t>17777777-3</t>
        </is>
      </c>
      <c r="B168" s="3" t="inlineStr">
        <is>
          <t>Activo</t>
        </is>
      </c>
      <c r="C168" s="3" t="inlineStr">
        <is>
          <t>GABRIELA LAGOS (EJEMPLO)</t>
        </is>
      </c>
      <c r="D168" s="3" t="inlineStr">
        <is>
          <t>EXAMEN Y PROCEDIMIENTOS</t>
        </is>
      </c>
      <c r="E168" s="4" t="n">
        <v>46301</v>
      </c>
      <c r="F168" s="3" t="inlineStr">
        <is>
          <t>Martes</t>
        </is>
      </c>
      <c r="G168" s="4" t="n">
        <v>46300</v>
      </c>
      <c r="H168" s="3" t="inlineStr">
        <is>
          <t>Intermedio S/sábado</t>
        </is>
      </c>
      <c r="I168" s="3" t="inlineStr">
        <is>
          <t>TRABAJA</t>
        </is>
      </c>
      <c r="J168" s="5" t="n">
        <v>0.375</v>
      </c>
      <c r="K168" s="5" t="n">
        <v>0.7916666666666666</v>
      </c>
      <c r="L168" s="5">
        <f>IF(COUNT(J168:K168)=2,K168-J168,0)</f>
        <v/>
      </c>
      <c r="M168" s="6">
        <f>L168*24</f>
        <v/>
      </c>
      <c r="N168" s="3" t="n">
        <v>60</v>
      </c>
      <c r="O168" s="6">
        <f>N168/60</f>
        <v/>
      </c>
      <c r="P168" s="6">
        <f>M168-O168</f>
        <v/>
      </c>
      <c r="Q168" s="6">
        <f>SUMIFS($P:$P,$A:$A,A168,$G:$G,G168)</f>
        <v/>
      </c>
      <c r="R168" s="5" t="n">
        <v>0.4583333333333333</v>
      </c>
      <c r="S168" s="5" t="n">
        <v>0.7083333333333334</v>
      </c>
      <c r="T168" s="5" t="n">
        <v>0.5520833333333334</v>
      </c>
      <c r="U168" s="5" t="n">
        <v>0.59375</v>
      </c>
      <c r="V168" s="3">
        <f>IF(COUNT(T168:U168)=2,ROUND((U168-T168)*1440,0),0)</f>
        <v/>
      </c>
    </row>
    <row r="169">
      <c r="A169" s="2" t="inlineStr">
        <is>
          <t>17777777-3</t>
        </is>
      </c>
      <c r="B169" s="3" t="inlineStr">
        <is>
          <t>Activo</t>
        </is>
      </c>
      <c r="C169" s="3" t="inlineStr">
        <is>
          <t>GABRIELA LAGOS (EJEMPLO)</t>
        </is>
      </c>
      <c r="D169" s="3" t="inlineStr">
        <is>
          <t>EXAMEN Y PROCEDIMIENTOS</t>
        </is>
      </c>
      <c r="E169" s="4" t="n">
        <v>46302</v>
      </c>
      <c r="F169" s="3" t="inlineStr">
        <is>
          <t>Miércoles</t>
        </is>
      </c>
      <c r="G169" s="4" t="n">
        <v>46300</v>
      </c>
      <c r="H169" s="3" t="inlineStr">
        <is>
          <t>Intermedio S/sábado</t>
        </is>
      </c>
      <c r="I169" s="3" t="inlineStr">
        <is>
          <t>TRABAJA</t>
        </is>
      </c>
      <c r="J169" s="5" t="n">
        <v>0.375</v>
      </c>
      <c r="K169" s="5" t="n">
        <v>0.75</v>
      </c>
      <c r="L169" s="5">
        <f>IF(COUNT(J169:K169)=2,K169-J169,0)</f>
        <v/>
      </c>
      <c r="M169" s="6">
        <f>L169*24</f>
        <v/>
      </c>
      <c r="N169" s="3" t="n">
        <v>60</v>
      </c>
      <c r="O169" s="6">
        <f>N169/60</f>
        <v/>
      </c>
      <c r="P169" s="6">
        <f>M169-O169</f>
        <v/>
      </c>
      <c r="Q169" s="6">
        <f>SUMIFS($P:$P,$A:$A,A169,$G:$G,G169)</f>
        <v/>
      </c>
      <c r="R169" s="5" t="n">
        <v>0.4583333333333333</v>
      </c>
      <c r="S169" s="5" t="n">
        <v>0.71875</v>
      </c>
      <c r="T169" s="5" t="n">
        <v>0.59375</v>
      </c>
      <c r="U169" s="5" t="n">
        <v>0.6354166666666666</v>
      </c>
      <c r="V169" s="3">
        <f>IF(COUNT(T169:U169)=2,ROUND((U169-T169)*1440,0),0)</f>
        <v/>
      </c>
    </row>
    <row r="170">
      <c r="A170" s="2" t="inlineStr">
        <is>
          <t>17777777-3</t>
        </is>
      </c>
      <c r="B170" s="3" t="inlineStr">
        <is>
          <t>Activo</t>
        </is>
      </c>
      <c r="C170" s="3" t="inlineStr">
        <is>
          <t>GABRIELA LAGOS (EJEMPLO)</t>
        </is>
      </c>
      <c r="D170" s="3" t="inlineStr">
        <is>
          <t>EXAMEN Y PROCEDIMIENTOS</t>
        </is>
      </c>
      <c r="E170" s="4" t="n">
        <v>46303</v>
      </c>
      <c r="F170" s="3" t="inlineStr">
        <is>
          <t>Jueves</t>
        </is>
      </c>
      <c r="G170" s="4" t="n">
        <v>46300</v>
      </c>
      <c r="H170" s="3" t="inlineStr">
        <is>
          <t>Intermedio S/sábado</t>
        </is>
      </c>
      <c r="I170" s="3" t="inlineStr">
        <is>
          <t>TRABAJA</t>
        </is>
      </c>
      <c r="J170" s="5" t="n">
        <v>0.375</v>
      </c>
      <c r="K170" s="5" t="n">
        <v>0.75</v>
      </c>
      <c r="L170" s="5">
        <f>IF(COUNT(J170:K170)=2,K170-J170,0)</f>
        <v/>
      </c>
      <c r="M170" s="6">
        <f>L170*24</f>
        <v/>
      </c>
      <c r="N170" s="3" t="n">
        <v>60</v>
      </c>
      <c r="O170" s="6">
        <f>N170/60</f>
        <v/>
      </c>
      <c r="P170" s="6">
        <f>M170-O170</f>
        <v/>
      </c>
      <c r="Q170" s="6">
        <f>SUMIFS($P:$P,$A:$A,A170,$G:$G,G170)</f>
        <v/>
      </c>
      <c r="R170" s="5" t="n">
        <v>0.4583333333333333</v>
      </c>
      <c r="S170" s="5" t="n">
        <v>0.6666666666666666</v>
      </c>
      <c r="T170" s="5" t="n">
        <v>0.5416666666666666</v>
      </c>
      <c r="U170" s="5" t="n">
        <v>0.5833333333333334</v>
      </c>
      <c r="V170" s="3">
        <f>IF(COUNT(T170:U170)=2,ROUND((U170-T170)*1440,0),0)</f>
        <v/>
      </c>
    </row>
    <row r="171">
      <c r="A171" s="2" t="inlineStr">
        <is>
          <t>17777777-3</t>
        </is>
      </c>
      <c r="B171" s="3" t="inlineStr">
        <is>
          <t>Activo</t>
        </is>
      </c>
      <c r="C171" s="3" t="inlineStr">
        <is>
          <t>GABRIELA LAGOS (EJEMPLO)</t>
        </is>
      </c>
      <c r="D171" s="3" t="inlineStr">
        <is>
          <t>EXAMEN Y PROCEDIMIENTOS</t>
        </is>
      </c>
      <c r="E171" s="4" t="n">
        <v>46304</v>
      </c>
      <c r="F171" s="3" t="inlineStr">
        <is>
          <t>Viernes</t>
        </is>
      </c>
      <c r="G171" s="4" t="n">
        <v>46300</v>
      </c>
      <c r="H171" s="3" t="inlineStr">
        <is>
          <t>Intermedio S/sábado</t>
        </is>
      </c>
      <c r="I171" s="3" t="inlineStr">
        <is>
          <t>TRABAJA</t>
        </is>
      </c>
      <c r="J171" s="5" t="n">
        <v>0.375</v>
      </c>
      <c r="K171" s="5" t="n">
        <v>0.75</v>
      </c>
      <c r="L171" s="5">
        <f>IF(COUNT(J171:K171)=2,K171-J171,0)</f>
        <v/>
      </c>
      <c r="M171" s="6">
        <f>L171*24</f>
        <v/>
      </c>
      <c r="N171" s="3" t="n">
        <v>60</v>
      </c>
      <c r="O171" s="6">
        <f>N171/60</f>
        <v/>
      </c>
      <c r="P171" s="6">
        <f>M171-O171</f>
        <v/>
      </c>
      <c r="Q171" s="6">
        <f>SUMIFS($P:$P,$A:$A,A171,$G:$G,G171)</f>
        <v/>
      </c>
      <c r="R171" s="5" t="n">
        <v>0.4583333333333333</v>
      </c>
      <c r="S171" s="5" t="n">
        <v>0.71875</v>
      </c>
      <c r="T171" s="5" t="n">
        <v>0.59375</v>
      </c>
      <c r="U171" s="5" t="n">
        <v>0.6354166666666666</v>
      </c>
      <c r="V171" s="3">
        <f>IF(COUNT(T171:U171)=2,ROUND((U171-T171)*1440,0),0)</f>
        <v/>
      </c>
    </row>
    <row r="172">
      <c r="A172" s="2" t="inlineStr">
        <is>
          <t>17777777-3</t>
        </is>
      </c>
      <c r="B172" s="3" t="inlineStr">
        <is>
          <t>Activo</t>
        </is>
      </c>
      <c r="C172" s="3" t="inlineStr">
        <is>
          <t>GABRIELA LAGOS (EJEMPLO)</t>
        </is>
      </c>
      <c r="D172" s="3" t="inlineStr">
        <is>
          <t>EXAMEN Y PROCEDIMIENTOS</t>
        </is>
      </c>
      <c r="E172" s="4" t="n">
        <v>46305</v>
      </c>
      <c r="F172" s="3" t="inlineStr">
        <is>
          <t>Sábado</t>
        </is>
      </c>
      <c r="G172" s="4" t="n">
        <v>46300</v>
      </c>
      <c r="H172" s="3" t="inlineStr">
        <is>
          <t>Intermedio S/sábado</t>
        </is>
      </c>
      <c r="I172" s="3" t="inlineStr">
        <is>
          <t>LIBRE</t>
        </is>
      </c>
      <c r="J172" s="5" t="n"/>
      <c r="K172" s="5" t="n"/>
      <c r="L172" s="5">
        <f>IF(COUNT(J172:K172)=2,K172-J172,0)</f>
        <v/>
      </c>
      <c r="M172" s="6">
        <f>L172*24</f>
        <v/>
      </c>
      <c r="N172" s="3" t="n">
        <v>0</v>
      </c>
      <c r="O172" s="6">
        <f>N172/60</f>
        <v/>
      </c>
      <c r="P172" s="6">
        <f>M172-O172</f>
        <v/>
      </c>
      <c r="Q172" s="6">
        <f>SUMIFS($P:$P,$A:$A,A172,$G:$G,G172)</f>
        <v/>
      </c>
      <c r="R172" s="5" t="n"/>
      <c r="S172" s="5" t="n"/>
      <c r="T172" s="5" t="n"/>
      <c r="U172" s="5" t="n"/>
      <c r="V172" s="3">
        <f>IF(COUNT(T172:U172)=2,ROUND((U172-T172)*1440,0),0)</f>
        <v/>
      </c>
    </row>
    <row r="173">
      <c r="A173" s="2" t="inlineStr">
        <is>
          <t>17777777-3</t>
        </is>
      </c>
      <c r="B173" s="3" t="inlineStr">
        <is>
          <t>Activo</t>
        </is>
      </c>
      <c r="C173" s="3" t="inlineStr">
        <is>
          <t>GABRIELA LAGOS (EJEMPLO)</t>
        </is>
      </c>
      <c r="D173" s="3" t="inlineStr">
        <is>
          <t>EXAMEN Y PROCEDIMIENTOS</t>
        </is>
      </c>
      <c r="E173" s="4" t="n">
        <v>46307</v>
      </c>
      <c r="F173" s="3" t="inlineStr">
        <is>
          <t>Lunes</t>
        </is>
      </c>
      <c r="G173" s="4" t="n">
        <v>46307</v>
      </c>
      <c r="H173" s="3" t="inlineStr">
        <is>
          <t>Tarde S/sábado</t>
        </is>
      </c>
      <c r="I173" s="3" t="inlineStr">
        <is>
          <t>FERIADO</t>
        </is>
      </c>
      <c r="J173" s="5" t="n"/>
      <c r="K173" s="5" t="n"/>
      <c r="L173" s="5">
        <f>IF(COUNT(J173:K173)=2,K173-J173,0)</f>
        <v/>
      </c>
      <c r="M173" s="6">
        <f>L173*24</f>
        <v/>
      </c>
      <c r="N173" s="3" t="n">
        <v>0</v>
      </c>
      <c r="O173" s="6">
        <f>N173/60</f>
        <v/>
      </c>
      <c r="P173" s="6">
        <f>M173-O173</f>
        <v/>
      </c>
      <c r="Q173" s="6">
        <f>SUMIFS($P:$P,$A:$A,A173,$G:$G,G173)</f>
        <v/>
      </c>
      <c r="R173" s="5" t="n"/>
      <c r="S173" s="5" t="n"/>
      <c r="T173" s="5" t="n"/>
      <c r="U173" s="5" t="n"/>
      <c r="V173" s="3">
        <f>IF(COUNT(T173:U173)=2,ROUND((U173-T173)*1440,0),0)</f>
        <v/>
      </c>
    </row>
    <row r="174">
      <c r="A174" s="2" t="inlineStr">
        <is>
          <t>17777777-3</t>
        </is>
      </c>
      <c r="B174" s="3" t="inlineStr">
        <is>
          <t>Activo</t>
        </is>
      </c>
      <c r="C174" s="3" t="inlineStr">
        <is>
          <t>GABRIELA LAGOS (EJEMPLO)</t>
        </is>
      </c>
      <c r="D174" s="3" t="inlineStr">
        <is>
          <t>EXAMEN Y PROCEDIMIENTOS</t>
        </is>
      </c>
      <c r="E174" s="4" t="n">
        <v>46308</v>
      </c>
      <c r="F174" s="3" t="inlineStr">
        <is>
          <t>Martes</t>
        </is>
      </c>
      <c r="G174" s="4" t="n">
        <v>46307</v>
      </c>
      <c r="H174" s="3" t="inlineStr">
        <is>
          <t>Tarde S/sábado</t>
        </is>
      </c>
      <c r="I174" s="3" t="inlineStr">
        <is>
          <t>TRABAJA</t>
        </is>
      </c>
      <c r="J174" s="5" t="n">
        <v>0.4375</v>
      </c>
      <c r="K174" s="5" t="n">
        <v>0.8333333333333334</v>
      </c>
      <c r="L174" s="5">
        <f>IF(COUNT(J174:K174)=2,K174-J174,0)</f>
        <v/>
      </c>
      <c r="M174" s="6">
        <f>L174*24</f>
        <v/>
      </c>
      <c r="N174" s="3" t="n">
        <v>60</v>
      </c>
      <c r="O174" s="6">
        <f>N174/60</f>
        <v/>
      </c>
      <c r="P174" s="6">
        <f>M174-O174</f>
        <v/>
      </c>
      <c r="Q174" s="6">
        <f>SUMIFS($P:$P,$A:$A,A174,$G:$G,G174)</f>
        <v/>
      </c>
      <c r="R174" s="5" t="n">
        <v>0.5416666666666666</v>
      </c>
      <c r="S174" s="5" t="n">
        <v>0.8020833333333334</v>
      </c>
      <c r="T174" s="5" t="n">
        <v>0.6770833333333334</v>
      </c>
      <c r="U174" s="5" t="n">
        <v>0.71875</v>
      </c>
      <c r="V174" s="3">
        <f>IF(COUNT(T174:U174)=2,ROUND((U174-T174)*1440,0),0)</f>
        <v/>
      </c>
    </row>
    <row r="175">
      <c r="A175" s="2" t="inlineStr">
        <is>
          <t>17777777-3</t>
        </is>
      </c>
      <c r="B175" s="3" t="inlineStr">
        <is>
          <t>Activo</t>
        </is>
      </c>
      <c r="C175" s="3" t="inlineStr">
        <is>
          <t>GABRIELA LAGOS (EJEMPLO)</t>
        </is>
      </c>
      <c r="D175" s="3" t="inlineStr">
        <is>
          <t>EXAMEN Y PROCEDIMIENTOS</t>
        </is>
      </c>
      <c r="E175" s="4" t="n">
        <v>46309</v>
      </c>
      <c r="F175" s="3" t="inlineStr">
        <is>
          <t>Miércoles</t>
        </is>
      </c>
      <c r="G175" s="4" t="n">
        <v>46307</v>
      </c>
      <c r="H175" s="3" t="inlineStr">
        <is>
          <t>Tarde S/sábado</t>
        </is>
      </c>
      <c r="I175" s="3" t="inlineStr">
        <is>
          <t>TRABAJA</t>
        </is>
      </c>
      <c r="J175" s="5" t="n">
        <v>0.4375</v>
      </c>
      <c r="K175" s="5" t="n">
        <v>0.8333333333333334</v>
      </c>
      <c r="L175" s="5">
        <f>IF(COUNT(J175:K175)=2,K175-J175,0)</f>
        <v/>
      </c>
      <c r="M175" s="6">
        <f>L175*24</f>
        <v/>
      </c>
      <c r="N175" s="3" t="n">
        <v>60</v>
      </c>
      <c r="O175" s="6">
        <f>N175/60</f>
        <v/>
      </c>
      <c r="P175" s="6">
        <f>M175-O175</f>
        <v/>
      </c>
      <c r="Q175" s="6">
        <f>SUMIFS($P:$P,$A:$A,A175,$G:$G,G175)</f>
        <v/>
      </c>
      <c r="R175" s="5" t="n">
        <v>0.5208333333333334</v>
      </c>
      <c r="S175" s="5" t="n">
        <v>0.7604166666666666</v>
      </c>
      <c r="T175" s="5" t="n">
        <v>0.6354166666666666</v>
      </c>
      <c r="U175" s="5" t="n">
        <v>0.6770833333333334</v>
      </c>
      <c r="V175" s="3">
        <f>IF(COUNT(T175:U175)=2,ROUND((U175-T175)*1440,0),0)</f>
        <v/>
      </c>
    </row>
    <row r="176">
      <c r="A176" s="2" t="inlineStr">
        <is>
          <t>17777777-3</t>
        </is>
      </c>
      <c r="B176" s="3" t="inlineStr">
        <is>
          <t>Activo</t>
        </is>
      </c>
      <c r="C176" s="3" t="inlineStr">
        <is>
          <t>GABRIELA LAGOS (EJEMPLO)</t>
        </is>
      </c>
      <c r="D176" s="3" t="inlineStr">
        <is>
          <t>EXAMEN Y PROCEDIMIENTOS</t>
        </is>
      </c>
      <c r="E176" s="4" t="n">
        <v>46310</v>
      </c>
      <c r="F176" s="3" t="inlineStr">
        <is>
          <t>Jueves</t>
        </is>
      </c>
      <c r="G176" s="4" t="n">
        <v>46307</v>
      </c>
      <c r="H176" s="3" t="inlineStr">
        <is>
          <t>Tarde S/sábado</t>
        </is>
      </c>
      <c r="I176" s="3" t="inlineStr">
        <is>
          <t>TRABAJA</t>
        </is>
      </c>
      <c r="J176" s="5" t="n">
        <v>0.4375</v>
      </c>
      <c r="K176" s="5" t="n">
        <v>0.8333333333333334</v>
      </c>
      <c r="L176" s="5">
        <f>IF(COUNT(J176:K176)=2,K176-J176,0)</f>
        <v/>
      </c>
      <c r="M176" s="6">
        <f>L176*24</f>
        <v/>
      </c>
      <c r="N176" s="3" t="n">
        <v>60</v>
      </c>
      <c r="O176" s="6">
        <f>N176/60</f>
        <v/>
      </c>
      <c r="P176" s="6">
        <f>M176-O176</f>
        <v/>
      </c>
      <c r="Q176" s="6">
        <f>SUMIFS($P:$P,$A:$A,A176,$G:$G,G176)</f>
        <v/>
      </c>
      <c r="R176" s="5" t="n">
        <v>0.53125</v>
      </c>
      <c r="S176" s="5" t="n">
        <v>0.78125</v>
      </c>
      <c r="T176" s="5" t="n">
        <v>0.65625</v>
      </c>
      <c r="U176" s="5" t="n">
        <v>0.6979166666666666</v>
      </c>
      <c r="V176" s="3">
        <f>IF(COUNT(T176:U176)=2,ROUND((U176-T176)*1440,0),0)</f>
        <v/>
      </c>
    </row>
    <row r="177">
      <c r="A177" s="2" t="inlineStr">
        <is>
          <t>17777777-3</t>
        </is>
      </c>
      <c r="B177" s="3" t="inlineStr">
        <is>
          <t>Activo</t>
        </is>
      </c>
      <c r="C177" s="3" t="inlineStr">
        <is>
          <t>GABRIELA LAGOS (EJEMPLO)</t>
        </is>
      </c>
      <c r="D177" s="3" t="inlineStr">
        <is>
          <t>EXAMEN Y PROCEDIMIENTOS</t>
        </is>
      </c>
      <c r="E177" s="4" t="n">
        <v>46311</v>
      </c>
      <c r="F177" s="3" t="inlineStr">
        <is>
          <t>Viernes</t>
        </is>
      </c>
      <c r="G177" s="4" t="n">
        <v>46307</v>
      </c>
      <c r="H177" s="3" t="inlineStr">
        <is>
          <t>Tarde S/sábado</t>
        </is>
      </c>
      <c r="I177" s="3" t="inlineStr">
        <is>
          <t>TRABAJA</t>
        </is>
      </c>
      <c r="J177" s="5" t="n">
        <v>0.4583333333333333</v>
      </c>
      <c r="K177" s="5" t="n">
        <v>0.8333333333333334</v>
      </c>
      <c r="L177" s="5">
        <f>IF(COUNT(J177:K177)=2,K177-J177,0)</f>
        <v/>
      </c>
      <c r="M177" s="6">
        <f>L177*24</f>
        <v/>
      </c>
      <c r="N177" s="3" t="n">
        <v>60</v>
      </c>
      <c r="O177" s="6">
        <f>N177/60</f>
        <v/>
      </c>
      <c r="P177" s="6">
        <f>M177-O177</f>
        <v/>
      </c>
      <c r="Q177" s="6">
        <f>SUMIFS($P:$P,$A:$A,A177,$G:$G,G177)</f>
        <v/>
      </c>
      <c r="R177" s="5" t="n">
        <v>0.5416666666666666</v>
      </c>
      <c r="S177" s="5" t="n">
        <v>0.8020833333333334</v>
      </c>
      <c r="T177" s="5" t="n">
        <v>0.6770833333333334</v>
      </c>
      <c r="U177" s="5" t="n">
        <v>0.71875</v>
      </c>
      <c r="V177" s="3">
        <f>IF(COUNT(T177:U177)=2,ROUND((U177-T177)*1440,0),0)</f>
        <v/>
      </c>
    </row>
    <row r="178">
      <c r="A178" s="2" t="inlineStr">
        <is>
          <t>17777777-3</t>
        </is>
      </c>
      <c r="B178" s="3" t="inlineStr">
        <is>
          <t>Activo</t>
        </is>
      </c>
      <c r="C178" s="3" t="inlineStr">
        <is>
          <t>GABRIELA LAGOS (EJEMPLO)</t>
        </is>
      </c>
      <c r="D178" s="3" t="inlineStr">
        <is>
          <t>EXAMEN Y PROCEDIMIENTOS</t>
        </is>
      </c>
      <c r="E178" s="4" t="n">
        <v>46312</v>
      </c>
      <c r="F178" s="3" t="inlineStr">
        <is>
          <t>Sábado</t>
        </is>
      </c>
      <c r="G178" s="4" t="n">
        <v>46307</v>
      </c>
      <c r="H178" s="3" t="inlineStr">
        <is>
          <t>Tarde S/sábado</t>
        </is>
      </c>
      <c r="I178" s="3" t="inlineStr">
        <is>
          <t>LIBRE</t>
        </is>
      </c>
      <c r="J178" s="5" t="n"/>
      <c r="K178" s="5" t="n"/>
      <c r="L178" s="5">
        <f>IF(COUNT(J178:K178)=2,K178-J178,0)</f>
        <v/>
      </c>
      <c r="M178" s="6">
        <f>L178*24</f>
        <v/>
      </c>
      <c r="N178" s="3" t="n">
        <v>0</v>
      </c>
      <c r="O178" s="6">
        <f>N178/60</f>
        <v/>
      </c>
      <c r="P178" s="6">
        <f>M178-O178</f>
        <v/>
      </c>
      <c r="Q178" s="6">
        <f>SUMIFS($P:$P,$A:$A,A178,$G:$G,G178)</f>
        <v/>
      </c>
      <c r="R178" s="5" t="n"/>
      <c r="S178" s="5" t="n"/>
      <c r="T178" s="5" t="n"/>
      <c r="U178" s="5" t="n"/>
      <c r="V178" s="3">
        <f>IF(COUNT(T178:U178)=2,ROUND((U178-T178)*1440,0),0)</f>
        <v/>
      </c>
    </row>
    <row r="179">
      <c r="A179" s="2" t="inlineStr">
        <is>
          <t>17777777-3</t>
        </is>
      </c>
      <c r="B179" s="3" t="inlineStr">
        <is>
          <t>Activo</t>
        </is>
      </c>
      <c r="C179" s="3" t="inlineStr">
        <is>
          <t>GABRIELA LAGOS (EJEMPLO)</t>
        </is>
      </c>
      <c r="D179" s="3" t="inlineStr">
        <is>
          <t>EXAMEN Y PROCEDIMIENTOS</t>
        </is>
      </c>
      <c r="E179" s="4" t="n">
        <v>46314</v>
      </c>
      <c r="F179" s="3" t="inlineStr">
        <is>
          <t>Lunes</t>
        </is>
      </c>
      <c r="G179" s="4" t="n">
        <v>46314</v>
      </c>
      <c r="H179" s="3" t="inlineStr">
        <is>
          <t>Mañana C/sábado</t>
        </is>
      </c>
      <c r="I179" s="3" t="inlineStr">
        <is>
          <t>TRABAJA</t>
        </is>
      </c>
      <c r="J179" s="5" t="n">
        <v>0.3333333333333333</v>
      </c>
      <c r="K179" s="5" t="n">
        <v>0.6875</v>
      </c>
      <c r="L179" s="5">
        <f>IF(COUNT(J179:K179)=2,K179-J179,0)</f>
        <v/>
      </c>
      <c r="M179" s="6">
        <f>L179*24</f>
        <v/>
      </c>
      <c r="N179" s="3" t="n">
        <v>60</v>
      </c>
      <c r="O179" s="6">
        <f>N179/60</f>
        <v/>
      </c>
      <c r="P179" s="6">
        <f>M179-O179</f>
        <v/>
      </c>
      <c r="Q179" s="6">
        <f>SUMIFS($P:$P,$A:$A,A179,$G:$G,G179)</f>
        <v/>
      </c>
      <c r="R179" s="5" t="n">
        <v>0.4375</v>
      </c>
      <c r="S179" s="5" t="n">
        <v>0.65625</v>
      </c>
      <c r="T179" s="5" t="n">
        <v>0.5104166666666666</v>
      </c>
      <c r="U179" s="5" t="n">
        <v>0.5520833333333334</v>
      </c>
      <c r="V179" s="3">
        <f>IF(COUNT(T179:U179)=2,ROUND((U179-T179)*1440,0),0)</f>
        <v/>
      </c>
    </row>
    <row r="180">
      <c r="A180" s="2" t="inlineStr">
        <is>
          <t>17777777-3</t>
        </is>
      </c>
      <c r="B180" s="3" t="inlineStr">
        <is>
          <t>Activo</t>
        </is>
      </c>
      <c r="C180" s="3" t="inlineStr">
        <is>
          <t>GABRIELA LAGOS (EJEMPLO)</t>
        </is>
      </c>
      <c r="D180" s="3" t="inlineStr">
        <is>
          <t>EXAMEN Y PROCEDIMIENTOS</t>
        </is>
      </c>
      <c r="E180" s="4" t="n">
        <v>46315</v>
      </c>
      <c r="F180" s="3" t="inlineStr">
        <is>
          <t>Martes</t>
        </is>
      </c>
      <c r="G180" s="4" t="n">
        <v>46314</v>
      </c>
      <c r="H180" s="3" t="inlineStr">
        <is>
          <t>Mañana C/sábado</t>
        </is>
      </c>
      <c r="I180" s="3" t="inlineStr">
        <is>
          <t>TRABAJA</t>
        </is>
      </c>
      <c r="J180" s="5" t="n">
        <v>0.3333333333333333</v>
      </c>
      <c r="K180" s="5" t="n">
        <v>0.6875</v>
      </c>
      <c r="L180" s="5">
        <f>IF(COUNT(J180:K180)=2,K180-J180,0)</f>
        <v/>
      </c>
      <c r="M180" s="6">
        <f>L180*24</f>
        <v/>
      </c>
      <c r="N180" s="3" t="n">
        <v>60</v>
      </c>
      <c r="O180" s="6">
        <f>N180/60</f>
        <v/>
      </c>
      <c r="P180" s="6">
        <f>M180-O180</f>
        <v/>
      </c>
      <c r="Q180" s="6">
        <f>SUMIFS($P:$P,$A:$A,A180,$G:$G,G180)</f>
        <v/>
      </c>
      <c r="R180" s="5" t="n">
        <v>0.4375</v>
      </c>
      <c r="S180" s="5" t="n">
        <v>0.65625</v>
      </c>
      <c r="T180" s="5" t="n">
        <v>0.5104166666666666</v>
      </c>
      <c r="U180" s="5" t="n">
        <v>0.5520833333333334</v>
      </c>
      <c r="V180" s="3">
        <f>IF(COUNT(T180:U180)=2,ROUND((U180-T180)*1440,0),0)</f>
        <v/>
      </c>
    </row>
    <row r="181">
      <c r="A181" s="2" t="inlineStr">
        <is>
          <t>17777777-3</t>
        </is>
      </c>
      <c r="B181" s="3" t="inlineStr">
        <is>
          <t>Activo</t>
        </is>
      </c>
      <c r="C181" s="3" t="inlineStr">
        <is>
          <t>GABRIELA LAGOS (EJEMPLO)</t>
        </is>
      </c>
      <c r="D181" s="3" t="inlineStr">
        <is>
          <t>EXAMEN Y PROCEDIMIENTOS</t>
        </is>
      </c>
      <c r="E181" s="4" t="n">
        <v>46316</v>
      </c>
      <c r="F181" s="3" t="inlineStr">
        <is>
          <t>Miércoles</t>
        </is>
      </c>
      <c r="G181" s="4" t="n">
        <v>46314</v>
      </c>
      <c r="H181" s="3" t="inlineStr">
        <is>
          <t>Mañana C/sábado</t>
        </is>
      </c>
      <c r="I181" s="3" t="inlineStr">
        <is>
          <t>TRABAJA</t>
        </is>
      </c>
      <c r="J181" s="5" t="n">
        <v>0.3333333333333333</v>
      </c>
      <c r="K181" s="5" t="n">
        <v>0.6875</v>
      </c>
      <c r="L181" s="5">
        <f>IF(COUNT(J181:K181)=2,K181-J181,0)</f>
        <v/>
      </c>
      <c r="M181" s="6">
        <f>L181*24</f>
        <v/>
      </c>
      <c r="N181" s="3" t="n">
        <v>60</v>
      </c>
      <c r="O181" s="6">
        <f>N181/60</f>
        <v/>
      </c>
      <c r="P181" s="6">
        <f>M181-O181</f>
        <v/>
      </c>
      <c r="Q181" s="6">
        <f>SUMIFS($P:$P,$A:$A,A181,$G:$G,G181)</f>
        <v/>
      </c>
      <c r="R181" s="5" t="n">
        <v>0.4166666666666667</v>
      </c>
      <c r="S181" s="5" t="n">
        <v>0.625</v>
      </c>
      <c r="T181" s="5" t="n">
        <v>0.46875</v>
      </c>
      <c r="U181" s="5" t="n">
        <v>0.5104166666666666</v>
      </c>
      <c r="V181" s="3">
        <f>IF(COUNT(T181:U181)=2,ROUND((U181-T181)*1440,0),0)</f>
        <v/>
      </c>
    </row>
    <row r="182">
      <c r="A182" s="2" t="inlineStr">
        <is>
          <t>17777777-3</t>
        </is>
      </c>
      <c r="B182" s="3" t="inlineStr">
        <is>
          <t>Activo</t>
        </is>
      </c>
      <c r="C182" s="3" t="inlineStr">
        <is>
          <t>GABRIELA LAGOS (EJEMPLO)</t>
        </is>
      </c>
      <c r="D182" s="3" t="inlineStr">
        <is>
          <t>EXAMEN Y PROCEDIMIENTOS</t>
        </is>
      </c>
      <c r="E182" s="4" t="n">
        <v>46317</v>
      </c>
      <c r="F182" s="3" t="inlineStr">
        <is>
          <t>Jueves</t>
        </is>
      </c>
      <c r="G182" s="4" t="n">
        <v>46314</v>
      </c>
      <c r="H182" s="3" t="inlineStr">
        <is>
          <t>Mañana C/sábado</t>
        </is>
      </c>
      <c r="I182" s="3" t="inlineStr">
        <is>
          <t>TRABAJA</t>
        </is>
      </c>
      <c r="J182" s="5" t="n">
        <v>0.3333333333333333</v>
      </c>
      <c r="K182" s="5" t="n">
        <v>0.6666666666666666</v>
      </c>
      <c r="L182" s="5">
        <f>IF(COUNT(J182:K182)=2,K182-J182,0)</f>
        <v/>
      </c>
      <c r="M182" s="6">
        <f>L182*24</f>
        <v/>
      </c>
      <c r="N182" s="3" t="n">
        <v>60</v>
      </c>
      <c r="O182" s="6">
        <f>N182/60</f>
        <v/>
      </c>
      <c r="P182" s="6">
        <f>M182-O182</f>
        <v/>
      </c>
      <c r="Q182" s="6">
        <f>SUMIFS($P:$P,$A:$A,A182,$G:$G,G182)</f>
        <v/>
      </c>
      <c r="R182" s="5" t="n">
        <v>0.4375</v>
      </c>
      <c r="S182" s="5" t="n">
        <v>0.6145833333333334</v>
      </c>
      <c r="T182" s="5" t="n">
        <v>0.4895833333333333</v>
      </c>
      <c r="U182" s="5" t="n">
        <v>0.53125</v>
      </c>
      <c r="V182" s="3">
        <f>IF(COUNT(T182:U182)=2,ROUND((U182-T182)*1440,0),0)</f>
        <v/>
      </c>
    </row>
    <row r="183">
      <c r="A183" s="2" t="inlineStr">
        <is>
          <t>17777777-3</t>
        </is>
      </c>
      <c r="B183" s="3" t="inlineStr">
        <is>
          <t>Activo</t>
        </is>
      </c>
      <c r="C183" s="3" t="inlineStr">
        <is>
          <t>GABRIELA LAGOS (EJEMPLO)</t>
        </is>
      </c>
      <c r="D183" s="3" t="inlineStr">
        <is>
          <t>EXAMEN Y PROCEDIMIENTOS</t>
        </is>
      </c>
      <c r="E183" s="4" t="n">
        <v>46318</v>
      </c>
      <c r="F183" s="3" t="inlineStr">
        <is>
          <t>Viernes</t>
        </is>
      </c>
      <c r="G183" s="4" t="n">
        <v>46314</v>
      </c>
      <c r="H183" s="3" t="inlineStr">
        <is>
          <t>Mañana C/sábado</t>
        </is>
      </c>
      <c r="I183" s="3" t="inlineStr">
        <is>
          <t>TRABAJA</t>
        </is>
      </c>
      <c r="J183" s="5" t="n">
        <v>0.3333333333333333</v>
      </c>
      <c r="K183" s="5" t="n">
        <v>0.6666666666666666</v>
      </c>
      <c r="L183" s="5">
        <f>IF(COUNT(J183:K183)=2,K183-J183,0)</f>
        <v/>
      </c>
      <c r="M183" s="6">
        <f>L183*24</f>
        <v/>
      </c>
      <c r="N183" s="3" t="n">
        <v>60</v>
      </c>
      <c r="O183" s="6">
        <f>N183/60</f>
        <v/>
      </c>
      <c r="P183" s="6">
        <f>M183-O183</f>
        <v/>
      </c>
      <c r="Q183" s="6">
        <f>SUMIFS($P:$P,$A:$A,A183,$G:$G,G183)</f>
        <v/>
      </c>
      <c r="R183" s="5" t="n">
        <v>0.4375</v>
      </c>
      <c r="S183" s="5" t="n">
        <v>0.6145833333333334</v>
      </c>
      <c r="T183" s="5" t="n">
        <v>0.4895833333333333</v>
      </c>
      <c r="U183" s="5" t="n">
        <v>0.53125</v>
      </c>
      <c r="V183" s="3">
        <f>IF(COUNT(T183:U183)=2,ROUND((U183-T183)*1440,0),0)</f>
        <v/>
      </c>
    </row>
    <row r="184">
      <c r="A184" s="2" t="inlineStr">
        <is>
          <t>17777777-3</t>
        </is>
      </c>
      <c r="B184" s="3" t="inlineStr">
        <is>
          <t>Activo</t>
        </is>
      </c>
      <c r="C184" s="3" t="inlineStr">
        <is>
          <t>GABRIELA LAGOS (EJEMPLO)</t>
        </is>
      </c>
      <c r="D184" s="3" t="inlineStr">
        <is>
          <t>EXAMEN Y PROCEDIMIENTOS</t>
        </is>
      </c>
      <c r="E184" s="4" t="n">
        <v>46319</v>
      </c>
      <c r="F184" s="3" t="inlineStr">
        <is>
          <t>Sábado</t>
        </is>
      </c>
      <c r="G184" s="4" t="n">
        <v>46314</v>
      </c>
      <c r="H184" s="3" t="inlineStr">
        <is>
          <t>Mañana C/sábado</t>
        </is>
      </c>
      <c r="I184" s="3" t="inlineStr">
        <is>
          <t>TRABAJA</t>
        </is>
      </c>
      <c r="J184" s="5" t="n">
        <v>0.3333333333333333</v>
      </c>
      <c r="K184" s="5" t="n">
        <v>0.5833333333333334</v>
      </c>
      <c r="L184" s="5">
        <f>IF(COUNT(J184:K184)=2,K184-J184,0)</f>
        <v/>
      </c>
      <c r="M184" s="6">
        <f>L184*24</f>
        <v/>
      </c>
      <c r="N184" s="3" t="n">
        <v>30</v>
      </c>
      <c r="O184" s="6">
        <f>N184/60</f>
        <v/>
      </c>
      <c r="P184" s="6">
        <f>M184-O184</f>
        <v/>
      </c>
      <c r="Q184" s="6">
        <f>SUMIFS($P:$P,$A:$A,A184,$G:$G,G184)</f>
        <v/>
      </c>
      <c r="R184" s="5" t="n"/>
      <c r="S184" s="5" t="n"/>
      <c r="T184" s="5" t="n">
        <v>0.4375</v>
      </c>
      <c r="U184" s="5" t="n">
        <v>0.4583333333333333</v>
      </c>
      <c r="V184" s="3">
        <f>IF(COUNT(T184:U184)=2,ROUND((U184-T184)*1440,0),0)</f>
        <v/>
      </c>
    </row>
    <row r="185">
      <c r="A185" s="2" t="inlineStr">
        <is>
          <t>17777777-3</t>
        </is>
      </c>
      <c r="B185" s="3" t="inlineStr">
        <is>
          <t>Activo</t>
        </is>
      </c>
      <c r="C185" s="3" t="inlineStr">
        <is>
          <t>GABRIELA LAGOS (EJEMPLO)</t>
        </is>
      </c>
      <c r="D185" s="3" t="inlineStr">
        <is>
          <t>EXAMEN Y PROCEDIMIENTOS</t>
        </is>
      </c>
      <c r="E185" s="4" t="n">
        <v>46321</v>
      </c>
      <c r="F185" s="3" t="inlineStr">
        <is>
          <t>Lunes</t>
        </is>
      </c>
      <c r="G185" s="4" t="n">
        <v>46321</v>
      </c>
      <c r="H185" s="3" t="inlineStr">
        <is>
          <t>Intermedio S/sábado</t>
        </is>
      </c>
      <c r="I185" s="3" t="inlineStr">
        <is>
          <t>TRABAJA</t>
        </is>
      </c>
      <c r="J185" s="5" t="n">
        <v>0.375</v>
      </c>
      <c r="K185" s="5" t="n">
        <v>0.7916666666666666</v>
      </c>
      <c r="L185" s="5">
        <f>IF(COUNT(J185:K185)=2,K185-J185,0)</f>
        <v/>
      </c>
      <c r="M185" s="6">
        <f>L185*24</f>
        <v/>
      </c>
      <c r="N185" s="3" t="n">
        <v>60</v>
      </c>
      <c r="O185" s="6">
        <f>N185/60</f>
        <v/>
      </c>
      <c r="P185" s="6">
        <f>M185-O185</f>
        <v/>
      </c>
      <c r="Q185" s="6">
        <f>SUMIFS($P:$P,$A:$A,A185,$G:$G,G185)</f>
        <v/>
      </c>
      <c r="R185" s="5" t="n">
        <v>0.46875</v>
      </c>
      <c r="S185" s="5" t="n">
        <v>0.6875</v>
      </c>
      <c r="T185" s="5" t="n">
        <v>0.5208333333333334</v>
      </c>
      <c r="U185" s="5" t="n">
        <v>0.5625</v>
      </c>
      <c r="V185" s="3">
        <f>IF(COUNT(T185:U185)=2,ROUND((U185-T185)*1440,0),0)</f>
        <v/>
      </c>
    </row>
    <row r="186">
      <c r="A186" s="2" t="inlineStr">
        <is>
          <t>17777777-3</t>
        </is>
      </c>
      <c r="B186" s="3" t="inlineStr">
        <is>
          <t>Activo</t>
        </is>
      </c>
      <c r="C186" s="3" t="inlineStr">
        <is>
          <t>GABRIELA LAGOS (EJEMPLO)</t>
        </is>
      </c>
      <c r="D186" s="3" t="inlineStr">
        <is>
          <t>EXAMEN Y PROCEDIMIENTOS</t>
        </is>
      </c>
      <c r="E186" s="4" t="n">
        <v>46322</v>
      </c>
      <c r="F186" s="3" t="inlineStr">
        <is>
          <t>Martes</t>
        </is>
      </c>
      <c r="G186" s="4" t="n">
        <v>46321</v>
      </c>
      <c r="H186" s="3" t="inlineStr">
        <is>
          <t>Intermedio S/sábado</t>
        </is>
      </c>
      <c r="I186" s="3" t="inlineStr">
        <is>
          <t>TRABAJA</t>
        </is>
      </c>
      <c r="J186" s="5" t="n">
        <v>0.375</v>
      </c>
      <c r="K186" s="5" t="n">
        <v>0.7916666666666666</v>
      </c>
      <c r="L186" s="5">
        <f>IF(COUNT(J186:K186)=2,K186-J186,0)</f>
        <v/>
      </c>
      <c r="M186" s="6">
        <f>L186*24</f>
        <v/>
      </c>
      <c r="N186" s="3" t="n">
        <v>60</v>
      </c>
      <c r="O186" s="6">
        <f>N186/60</f>
        <v/>
      </c>
      <c r="P186" s="6">
        <f>M186-O186</f>
        <v/>
      </c>
      <c r="Q186" s="6">
        <f>SUMIFS($P:$P,$A:$A,A186,$G:$G,G186)</f>
        <v/>
      </c>
      <c r="R186" s="5" t="n">
        <v>0.46875</v>
      </c>
      <c r="S186" s="5" t="n">
        <v>0.6875</v>
      </c>
      <c r="T186" s="5" t="n">
        <v>0.5208333333333334</v>
      </c>
      <c r="U186" s="5" t="n">
        <v>0.5625</v>
      </c>
      <c r="V186" s="3">
        <f>IF(COUNT(T186:U186)=2,ROUND((U186-T186)*1440,0),0)</f>
        <v/>
      </c>
    </row>
    <row r="187">
      <c r="A187" s="2" t="inlineStr">
        <is>
          <t>17777777-3</t>
        </is>
      </c>
      <c r="B187" s="3" t="inlineStr">
        <is>
          <t>Activo</t>
        </is>
      </c>
      <c r="C187" s="3" t="inlineStr">
        <is>
          <t>GABRIELA LAGOS (EJEMPLO)</t>
        </is>
      </c>
      <c r="D187" s="3" t="inlineStr">
        <is>
          <t>EXAMEN Y PROCEDIMIENTOS</t>
        </is>
      </c>
      <c r="E187" s="4" t="n">
        <v>46323</v>
      </c>
      <c r="F187" s="3" t="inlineStr">
        <is>
          <t>Miércoles</t>
        </is>
      </c>
      <c r="G187" s="4" t="n">
        <v>46321</v>
      </c>
      <c r="H187" s="3" t="inlineStr">
        <is>
          <t>Intermedio S/sábado</t>
        </is>
      </c>
      <c r="I187" s="3" t="inlineStr">
        <is>
          <t>TRABAJA</t>
        </is>
      </c>
      <c r="J187" s="5" t="n">
        <v>0.375</v>
      </c>
      <c r="K187" s="5" t="n">
        <v>0.75</v>
      </c>
      <c r="L187" s="5">
        <f>IF(COUNT(J187:K187)=2,K187-J187,0)</f>
        <v/>
      </c>
      <c r="M187" s="6">
        <f>L187*24</f>
        <v/>
      </c>
      <c r="N187" s="3" t="n">
        <v>60</v>
      </c>
      <c r="O187" s="6">
        <f>N187/60</f>
        <v/>
      </c>
      <c r="P187" s="6">
        <f>M187-O187</f>
        <v/>
      </c>
      <c r="Q187" s="6">
        <f>SUMIFS($P:$P,$A:$A,A187,$G:$G,G187)</f>
        <v/>
      </c>
      <c r="R187" s="5" t="n">
        <v>0.46875</v>
      </c>
      <c r="S187" s="5" t="n">
        <v>0.6875</v>
      </c>
      <c r="T187" s="5" t="n">
        <v>0.5520833333333334</v>
      </c>
      <c r="U187" s="5" t="n">
        <v>0.59375</v>
      </c>
      <c r="V187" s="3">
        <f>IF(COUNT(T187:U187)=2,ROUND((U187-T187)*1440,0),0)</f>
        <v/>
      </c>
    </row>
    <row r="188">
      <c r="A188" s="2" t="inlineStr">
        <is>
          <t>17777777-3</t>
        </is>
      </c>
      <c r="B188" s="3" t="inlineStr">
        <is>
          <t>Activo</t>
        </is>
      </c>
      <c r="C188" s="3" t="inlineStr">
        <is>
          <t>GABRIELA LAGOS (EJEMPLO)</t>
        </is>
      </c>
      <c r="D188" s="3" t="inlineStr">
        <is>
          <t>EXAMEN Y PROCEDIMIENTOS</t>
        </is>
      </c>
      <c r="E188" s="4" t="n">
        <v>46324</v>
      </c>
      <c r="F188" s="3" t="inlineStr">
        <is>
          <t>Jueves</t>
        </is>
      </c>
      <c r="G188" s="4" t="n">
        <v>46321</v>
      </c>
      <c r="H188" s="3" t="inlineStr">
        <is>
          <t>Intermedio S/sábado</t>
        </is>
      </c>
      <c r="I188" s="3" t="inlineStr">
        <is>
          <t>TRABAJA</t>
        </is>
      </c>
      <c r="J188" s="5" t="n">
        <v>0.375</v>
      </c>
      <c r="K188" s="5" t="n">
        <v>0.75</v>
      </c>
      <c r="L188" s="5">
        <f>IF(COUNT(J188:K188)=2,K188-J188,0)</f>
        <v/>
      </c>
      <c r="M188" s="6">
        <f>L188*24</f>
        <v/>
      </c>
      <c r="N188" s="3" t="n">
        <v>60</v>
      </c>
      <c r="O188" s="6">
        <f>N188/60</f>
        <v/>
      </c>
      <c r="P188" s="6">
        <f>M188-O188</f>
        <v/>
      </c>
      <c r="Q188" s="6">
        <f>SUMIFS($P:$P,$A:$A,A188,$G:$G,G188)</f>
        <v/>
      </c>
      <c r="R188" s="5" t="n">
        <v>0.4791666666666667</v>
      </c>
      <c r="S188" s="5" t="n">
        <v>0.7083333333333334</v>
      </c>
      <c r="T188" s="5" t="n">
        <v>0.5625</v>
      </c>
      <c r="U188" s="5" t="n">
        <v>0.6041666666666666</v>
      </c>
      <c r="V188" s="3">
        <f>IF(COUNT(T188:U188)=2,ROUND((U188-T188)*1440,0),0)</f>
        <v/>
      </c>
    </row>
    <row r="189">
      <c r="A189" s="2" t="inlineStr">
        <is>
          <t>17777777-3</t>
        </is>
      </c>
      <c r="B189" s="3" t="inlineStr">
        <is>
          <t>Activo</t>
        </is>
      </c>
      <c r="C189" s="3" t="inlineStr">
        <is>
          <t>GABRIELA LAGOS (EJEMPLO)</t>
        </is>
      </c>
      <c r="D189" s="3" t="inlineStr">
        <is>
          <t>EXAMEN Y PROCEDIMIENTOS</t>
        </is>
      </c>
      <c r="E189" s="4" t="n">
        <v>46325</v>
      </c>
      <c r="F189" s="3" t="inlineStr">
        <is>
          <t>Viernes</t>
        </is>
      </c>
      <c r="G189" s="4" t="n">
        <v>46321</v>
      </c>
      <c r="H189" s="3" t="inlineStr">
        <is>
          <t>Intermedio S/sábado</t>
        </is>
      </c>
      <c r="I189" s="3" t="inlineStr">
        <is>
          <t>TRABAJA</t>
        </is>
      </c>
      <c r="J189" s="5" t="n">
        <v>0.375</v>
      </c>
      <c r="K189" s="5" t="n">
        <v>0.75</v>
      </c>
      <c r="L189" s="5">
        <f>IF(COUNT(J189:K189)=2,K189-J189,0)</f>
        <v/>
      </c>
      <c r="M189" s="6">
        <f>L189*24</f>
        <v/>
      </c>
      <c r="N189" s="3" t="n">
        <v>60</v>
      </c>
      <c r="O189" s="6">
        <f>N189/60</f>
        <v/>
      </c>
      <c r="P189" s="6">
        <f>M189-O189</f>
        <v/>
      </c>
      <c r="Q189" s="6">
        <f>SUMIFS($P:$P,$A:$A,A189,$G:$G,G189)</f>
        <v/>
      </c>
      <c r="R189" s="5" t="n">
        <v>0.4583333333333333</v>
      </c>
      <c r="S189" s="5" t="n">
        <v>0.6666666666666666</v>
      </c>
      <c r="T189" s="5" t="n">
        <v>0.5104166666666666</v>
      </c>
      <c r="U189" s="5" t="n">
        <v>0.5520833333333334</v>
      </c>
      <c r="V189" s="3">
        <f>IF(COUNT(T189:U189)=2,ROUND((U189-T189)*1440,0),0)</f>
        <v/>
      </c>
    </row>
    <row r="190">
      <c r="A190" s="2" t="inlineStr">
        <is>
          <t>17777777-3</t>
        </is>
      </c>
      <c r="B190" s="3" t="inlineStr">
        <is>
          <t>Activo</t>
        </is>
      </c>
      <c r="C190" s="3" t="inlineStr">
        <is>
          <t>GABRIELA LAGOS (EJEMPLO)</t>
        </is>
      </c>
      <c r="D190" s="3" t="inlineStr">
        <is>
          <t>EXAMEN Y PROCEDIMIENTOS</t>
        </is>
      </c>
      <c r="E190" s="4" t="n">
        <v>46326</v>
      </c>
      <c r="F190" s="3" t="inlineStr">
        <is>
          <t>Sábado</t>
        </is>
      </c>
      <c r="G190" s="4" t="n">
        <v>46321</v>
      </c>
      <c r="H190" s="3" t="inlineStr">
        <is>
          <t>Intermedio S/sábado</t>
        </is>
      </c>
      <c r="I190" s="3" t="inlineStr">
        <is>
          <t>FERIADO</t>
        </is>
      </c>
      <c r="J190" s="5" t="n"/>
      <c r="K190" s="5" t="n"/>
      <c r="L190" s="5">
        <f>IF(COUNT(J190:K190)=2,K190-J190,0)</f>
        <v/>
      </c>
      <c r="M190" s="6">
        <f>L190*24</f>
        <v/>
      </c>
      <c r="N190" s="3" t="n">
        <v>0</v>
      </c>
      <c r="O190" s="6">
        <f>N190/60</f>
        <v/>
      </c>
      <c r="P190" s="6">
        <f>M190-O190</f>
        <v/>
      </c>
      <c r="Q190" s="6">
        <f>SUMIFS($P:$P,$A:$A,A190,$G:$G,G190)</f>
        <v/>
      </c>
      <c r="R190" s="5" t="n"/>
      <c r="S190" s="5" t="n"/>
      <c r="T190" s="5" t="n"/>
      <c r="U190" s="5" t="n"/>
      <c r="V190" s="3">
        <f>IF(COUNT(T190:U190)=2,ROUND((U190-T190)*1440,0),0)</f>
        <v/>
      </c>
    </row>
    <row r="191">
      <c r="A191" s="2" t="inlineStr">
        <is>
          <t>18888888-7</t>
        </is>
      </c>
      <c r="B191" s="3" t="inlineStr">
        <is>
          <t>Activo</t>
        </is>
      </c>
      <c r="C191" s="3" t="inlineStr">
        <is>
          <t>HUGO FUENTES (EJEMPLO)</t>
        </is>
      </c>
      <c r="D191" s="3" t="inlineStr">
        <is>
          <t>EXAMEN Y PROCEDIMIENTOS</t>
        </is>
      </c>
      <c r="E191" s="4" t="n">
        <v>46296</v>
      </c>
      <c r="F191" s="3" t="inlineStr">
        <is>
          <t>Jueves</t>
        </is>
      </c>
      <c r="G191" s="4" t="n">
        <v>46293</v>
      </c>
      <c r="H191" s="3" t="inlineStr">
        <is>
          <t>Intermedio S/sábado</t>
        </is>
      </c>
      <c r="I191" s="3" t="inlineStr">
        <is>
          <t>TRABAJA</t>
        </is>
      </c>
      <c r="J191" s="5" t="n">
        <v>0.375</v>
      </c>
      <c r="K191" s="5" t="n">
        <v>0.75</v>
      </c>
      <c r="L191" s="5">
        <f>IF(COUNT(J191:K191)=2,K191-J191,0)</f>
        <v/>
      </c>
      <c r="M191" s="6">
        <f>L191*24</f>
        <v/>
      </c>
      <c r="N191" s="3" t="n">
        <v>60</v>
      </c>
      <c r="O191" s="6">
        <f>N191/60</f>
        <v/>
      </c>
      <c r="P191" s="6">
        <f>M191-O191</f>
        <v/>
      </c>
      <c r="Q191" s="6">
        <f>SUMIFS($P:$P,$A:$A,A191,$G:$G,G191)</f>
        <v/>
      </c>
      <c r="R191" s="5" t="n">
        <v>0.4583333333333333</v>
      </c>
      <c r="S191" s="5" t="n">
        <v>0.71875</v>
      </c>
      <c r="T191" s="5" t="n">
        <v>0.59375</v>
      </c>
      <c r="U191" s="5" t="n">
        <v>0.6354166666666666</v>
      </c>
      <c r="V191" s="3">
        <f>IF(COUNT(T191:U191)=2,ROUND((U191-T191)*1440,0),0)</f>
        <v/>
      </c>
    </row>
    <row r="192">
      <c r="A192" s="2" t="inlineStr">
        <is>
          <t>18888888-7</t>
        </is>
      </c>
      <c r="B192" s="3" t="inlineStr">
        <is>
          <t>Activo</t>
        </is>
      </c>
      <c r="C192" s="3" t="inlineStr">
        <is>
          <t>HUGO FUENTES (EJEMPLO)</t>
        </is>
      </c>
      <c r="D192" s="3" t="inlineStr">
        <is>
          <t>EXAMEN Y PROCEDIMIENTOS</t>
        </is>
      </c>
      <c r="E192" s="4" t="n">
        <v>46297</v>
      </c>
      <c r="F192" s="3" t="inlineStr">
        <is>
          <t>Viernes</t>
        </is>
      </c>
      <c r="G192" s="4" t="n">
        <v>46293</v>
      </c>
      <c r="H192" s="3" t="inlineStr">
        <is>
          <t>Intermedio S/sábado</t>
        </is>
      </c>
      <c r="I192" s="3" t="inlineStr">
        <is>
          <t>TRABAJA</t>
        </is>
      </c>
      <c r="J192" s="5" t="n">
        <v>0.375</v>
      </c>
      <c r="K192" s="5" t="n">
        <v>0.75</v>
      </c>
      <c r="L192" s="5">
        <f>IF(COUNT(J192:K192)=2,K192-J192,0)</f>
        <v/>
      </c>
      <c r="M192" s="6">
        <f>L192*24</f>
        <v/>
      </c>
      <c r="N192" s="3" t="n">
        <v>60</v>
      </c>
      <c r="O192" s="6">
        <f>N192/60</f>
        <v/>
      </c>
      <c r="P192" s="6">
        <f>M192-O192</f>
        <v/>
      </c>
      <c r="Q192" s="6">
        <f>SUMIFS($P:$P,$A:$A,A192,$G:$G,G192)</f>
        <v/>
      </c>
      <c r="R192" s="5" t="n">
        <v>0.4583333333333333</v>
      </c>
      <c r="S192" s="5" t="n">
        <v>0.65625</v>
      </c>
      <c r="T192" s="5" t="n">
        <v>0.53125</v>
      </c>
      <c r="U192" s="5" t="n">
        <v>0.5729166666666666</v>
      </c>
      <c r="V192" s="3">
        <f>IF(COUNT(T192:U192)=2,ROUND((U192-T192)*1440,0),0)</f>
        <v/>
      </c>
    </row>
    <row r="193">
      <c r="A193" s="2" t="inlineStr">
        <is>
          <t>18888888-7</t>
        </is>
      </c>
      <c r="B193" s="3" t="inlineStr">
        <is>
          <t>Activo</t>
        </is>
      </c>
      <c r="C193" s="3" t="inlineStr">
        <is>
          <t>HUGO FUENTES (EJEMPLO)</t>
        </is>
      </c>
      <c r="D193" s="3" t="inlineStr">
        <is>
          <t>EXAMEN Y PROCEDIMIENTOS</t>
        </is>
      </c>
      <c r="E193" s="4" t="n">
        <v>46298</v>
      </c>
      <c r="F193" s="3" t="inlineStr">
        <is>
          <t>Sábado</t>
        </is>
      </c>
      <c r="G193" s="4" t="n">
        <v>46293</v>
      </c>
      <c r="H193" s="3" t="inlineStr">
        <is>
          <t>Intermedio S/sábado</t>
        </is>
      </c>
      <c r="I193" s="3" t="inlineStr">
        <is>
          <t>LIBRE</t>
        </is>
      </c>
      <c r="J193" s="5" t="n"/>
      <c r="K193" s="5" t="n"/>
      <c r="L193" s="5">
        <f>IF(COUNT(J193:K193)=2,K193-J193,0)</f>
        <v/>
      </c>
      <c r="M193" s="6">
        <f>L193*24</f>
        <v/>
      </c>
      <c r="N193" s="3" t="n">
        <v>0</v>
      </c>
      <c r="O193" s="6">
        <f>N193/60</f>
        <v/>
      </c>
      <c r="P193" s="6">
        <f>M193-O193</f>
        <v/>
      </c>
      <c r="Q193" s="6">
        <f>SUMIFS($P:$P,$A:$A,A193,$G:$G,G193)</f>
        <v/>
      </c>
      <c r="R193" s="5" t="n"/>
      <c r="S193" s="5" t="n"/>
      <c r="T193" s="5" t="n"/>
      <c r="U193" s="5" t="n"/>
      <c r="V193" s="3">
        <f>IF(COUNT(T193:U193)=2,ROUND((U193-T193)*1440,0),0)</f>
        <v/>
      </c>
    </row>
    <row r="194">
      <c r="A194" s="2" t="inlineStr">
        <is>
          <t>18888888-7</t>
        </is>
      </c>
      <c r="B194" s="3" t="inlineStr">
        <is>
          <t>Activo</t>
        </is>
      </c>
      <c r="C194" s="3" t="inlineStr">
        <is>
          <t>HUGO FUENTES (EJEMPLO)</t>
        </is>
      </c>
      <c r="D194" s="3" t="inlineStr">
        <is>
          <t>EXAMEN Y PROCEDIMIENTOS</t>
        </is>
      </c>
      <c r="E194" s="4" t="n">
        <v>46300</v>
      </c>
      <c r="F194" s="3" t="inlineStr">
        <is>
          <t>Lunes</t>
        </is>
      </c>
      <c r="G194" s="4" t="n">
        <v>46300</v>
      </c>
      <c r="H194" s="3" t="inlineStr">
        <is>
          <t>Intermedio S/sábado</t>
        </is>
      </c>
      <c r="I194" s="3" t="inlineStr">
        <is>
          <t>TRABAJA</t>
        </is>
      </c>
      <c r="J194" s="5" t="n">
        <v>0.375</v>
      </c>
      <c r="K194" s="5" t="n">
        <v>0.7916666666666666</v>
      </c>
      <c r="L194" s="5">
        <f>IF(COUNT(J194:K194)=2,K194-J194,0)</f>
        <v/>
      </c>
      <c r="M194" s="6">
        <f>L194*24</f>
        <v/>
      </c>
      <c r="N194" s="3" t="n">
        <v>60</v>
      </c>
      <c r="O194" s="6">
        <f>N194/60</f>
        <v/>
      </c>
      <c r="P194" s="6">
        <f>M194-O194</f>
        <v/>
      </c>
      <c r="Q194" s="6">
        <f>SUMIFS($P:$P,$A:$A,A194,$G:$G,G194)</f>
        <v/>
      </c>
      <c r="R194" s="5" t="n">
        <v>0.5</v>
      </c>
      <c r="S194" s="5" t="n">
        <v>0.7604166666666666</v>
      </c>
      <c r="T194" s="5" t="n">
        <v>0.6354166666666666</v>
      </c>
      <c r="U194" s="5" t="n">
        <v>0.6770833333333334</v>
      </c>
      <c r="V194" s="3">
        <f>IF(COUNT(T194:U194)=2,ROUND((U194-T194)*1440,0),0)</f>
        <v/>
      </c>
    </row>
    <row r="195">
      <c r="A195" s="2" t="inlineStr">
        <is>
          <t>18888888-7</t>
        </is>
      </c>
      <c r="B195" s="3" t="inlineStr">
        <is>
          <t>Activo</t>
        </is>
      </c>
      <c r="C195" s="3" t="inlineStr">
        <is>
          <t>HUGO FUENTES (EJEMPLO)</t>
        </is>
      </c>
      <c r="D195" s="3" t="inlineStr">
        <is>
          <t>EXAMEN Y PROCEDIMIENTOS</t>
        </is>
      </c>
      <c r="E195" s="4" t="n">
        <v>46301</v>
      </c>
      <c r="F195" s="3" t="inlineStr">
        <is>
          <t>Martes</t>
        </is>
      </c>
      <c r="G195" s="4" t="n">
        <v>46300</v>
      </c>
      <c r="H195" s="3" t="inlineStr">
        <is>
          <t>Intermedio S/sábado</t>
        </is>
      </c>
      <c r="I195" s="3" t="inlineStr">
        <is>
          <t>TRABAJA</t>
        </is>
      </c>
      <c r="J195" s="5" t="n">
        <v>0.375</v>
      </c>
      <c r="K195" s="5" t="n">
        <v>0.7916666666666666</v>
      </c>
      <c r="L195" s="5">
        <f>IF(COUNT(J195:K195)=2,K195-J195,0)</f>
        <v/>
      </c>
      <c r="M195" s="6">
        <f>L195*24</f>
        <v/>
      </c>
      <c r="N195" s="3" t="n">
        <v>60</v>
      </c>
      <c r="O195" s="6">
        <f>N195/60</f>
        <v/>
      </c>
      <c r="P195" s="6">
        <f>M195-O195</f>
        <v/>
      </c>
      <c r="Q195" s="6">
        <f>SUMIFS($P:$P,$A:$A,A195,$G:$G,G195)</f>
        <v/>
      </c>
      <c r="R195" s="5" t="n">
        <v>0.5</v>
      </c>
      <c r="S195" s="5" t="n">
        <v>0.7604166666666666</v>
      </c>
      <c r="T195" s="5" t="n">
        <v>0.6354166666666666</v>
      </c>
      <c r="U195" s="5" t="n">
        <v>0.6770833333333334</v>
      </c>
      <c r="V195" s="3">
        <f>IF(COUNT(T195:U195)=2,ROUND((U195-T195)*1440,0),0)</f>
        <v/>
      </c>
    </row>
    <row r="196">
      <c r="A196" s="2" t="inlineStr">
        <is>
          <t>18888888-7</t>
        </is>
      </c>
      <c r="B196" s="3" t="inlineStr">
        <is>
          <t>Activo</t>
        </is>
      </c>
      <c r="C196" s="3" t="inlineStr">
        <is>
          <t>HUGO FUENTES (EJEMPLO)</t>
        </is>
      </c>
      <c r="D196" s="3" t="inlineStr">
        <is>
          <t>EXAMEN Y PROCEDIMIENTOS</t>
        </is>
      </c>
      <c r="E196" s="4" t="n">
        <v>46302</v>
      </c>
      <c r="F196" s="3" t="inlineStr">
        <is>
          <t>Miércoles</t>
        </is>
      </c>
      <c r="G196" s="4" t="n">
        <v>46300</v>
      </c>
      <c r="H196" s="3" t="inlineStr">
        <is>
          <t>Intermedio S/sábado</t>
        </is>
      </c>
      <c r="I196" s="3" t="inlineStr">
        <is>
          <t>TRABAJA</t>
        </is>
      </c>
      <c r="J196" s="5" t="n">
        <v>0.375</v>
      </c>
      <c r="K196" s="5" t="n">
        <v>0.75</v>
      </c>
      <c r="L196" s="5">
        <f>IF(COUNT(J196:K196)=2,K196-J196,0)</f>
        <v/>
      </c>
      <c r="M196" s="6">
        <f>L196*24</f>
        <v/>
      </c>
      <c r="N196" s="3" t="n">
        <v>60</v>
      </c>
      <c r="O196" s="6">
        <f>N196/60</f>
        <v/>
      </c>
      <c r="P196" s="6">
        <f>M196-O196</f>
        <v/>
      </c>
      <c r="Q196" s="6">
        <f>SUMIFS($P:$P,$A:$A,A196,$G:$G,G196)</f>
        <v/>
      </c>
      <c r="R196" s="5" t="n">
        <v>0.4583333333333333</v>
      </c>
      <c r="S196" s="5" t="n">
        <v>0.7083333333333334</v>
      </c>
      <c r="T196" s="5" t="n">
        <v>0.5416666666666666</v>
      </c>
      <c r="U196" s="5" t="n">
        <v>0.5833333333333334</v>
      </c>
      <c r="V196" s="3">
        <f>IF(COUNT(T196:U196)=2,ROUND((U196-T196)*1440,0),0)</f>
        <v/>
      </c>
    </row>
    <row r="197">
      <c r="A197" s="2" t="inlineStr">
        <is>
          <t>18888888-7</t>
        </is>
      </c>
      <c r="B197" s="3" t="inlineStr">
        <is>
          <t>Activo</t>
        </is>
      </c>
      <c r="C197" s="3" t="inlineStr">
        <is>
          <t>HUGO FUENTES (EJEMPLO)</t>
        </is>
      </c>
      <c r="D197" s="3" t="inlineStr">
        <is>
          <t>EXAMEN Y PROCEDIMIENTOS</t>
        </is>
      </c>
      <c r="E197" s="4" t="n">
        <v>46303</v>
      </c>
      <c r="F197" s="3" t="inlineStr">
        <is>
          <t>Jueves</t>
        </is>
      </c>
      <c r="G197" s="4" t="n">
        <v>46300</v>
      </c>
      <c r="H197" s="3" t="inlineStr">
        <is>
          <t>Intermedio S/sábado</t>
        </is>
      </c>
      <c r="I197" s="3" t="inlineStr">
        <is>
          <t>TRABAJA</t>
        </is>
      </c>
      <c r="J197" s="5" t="n">
        <v>0.375</v>
      </c>
      <c r="K197" s="5" t="n">
        <v>0.75</v>
      </c>
      <c r="L197" s="5">
        <f>IF(COUNT(J197:K197)=2,K197-J197,0)</f>
        <v/>
      </c>
      <c r="M197" s="6">
        <f>L197*24</f>
        <v/>
      </c>
      <c r="N197" s="3" t="n">
        <v>60</v>
      </c>
      <c r="O197" s="6">
        <f>N197/60</f>
        <v/>
      </c>
      <c r="P197" s="6">
        <f>M197-O197</f>
        <v/>
      </c>
      <c r="Q197" s="6">
        <f>SUMIFS($P:$P,$A:$A,A197,$G:$G,G197)</f>
        <v/>
      </c>
      <c r="R197" s="5" t="n">
        <v>0.4583333333333333</v>
      </c>
      <c r="S197" s="5" t="n">
        <v>0.71875</v>
      </c>
      <c r="T197" s="5" t="n">
        <v>0.59375</v>
      </c>
      <c r="U197" s="5" t="n">
        <v>0.6354166666666666</v>
      </c>
      <c r="V197" s="3">
        <f>IF(COUNT(T197:U197)=2,ROUND((U197-T197)*1440,0),0)</f>
        <v/>
      </c>
    </row>
    <row r="198">
      <c r="A198" s="2" t="inlineStr">
        <is>
          <t>18888888-7</t>
        </is>
      </c>
      <c r="B198" s="3" t="inlineStr">
        <is>
          <t>Activo</t>
        </is>
      </c>
      <c r="C198" s="3" t="inlineStr">
        <is>
          <t>HUGO FUENTES (EJEMPLO)</t>
        </is>
      </c>
      <c r="D198" s="3" t="inlineStr">
        <is>
          <t>EXAMEN Y PROCEDIMIENTOS</t>
        </is>
      </c>
      <c r="E198" s="4" t="n">
        <v>46304</v>
      </c>
      <c r="F198" s="3" t="inlineStr">
        <is>
          <t>Viernes</t>
        </is>
      </c>
      <c r="G198" s="4" t="n">
        <v>46300</v>
      </c>
      <c r="H198" s="3" t="inlineStr">
        <is>
          <t>Intermedio S/sábado</t>
        </is>
      </c>
      <c r="I198" s="3" t="inlineStr">
        <is>
          <t>TRABAJA</t>
        </is>
      </c>
      <c r="J198" s="5" t="n">
        <v>0.375</v>
      </c>
      <c r="K198" s="5" t="n">
        <v>0.75</v>
      </c>
      <c r="L198" s="5">
        <f>IF(COUNT(J198:K198)=2,K198-J198,0)</f>
        <v/>
      </c>
      <c r="M198" s="6">
        <f>L198*24</f>
        <v/>
      </c>
      <c r="N198" s="3" t="n">
        <v>60</v>
      </c>
      <c r="O198" s="6">
        <f>N198/60</f>
        <v/>
      </c>
      <c r="P198" s="6">
        <f>M198-O198</f>
        <v/>
      </c>
      <c r="Q198" s="6">
        <f>SUMIFS($P:$P,$A:$A,A198,$G:$G,G198)</f>
        <v/>
      </c>
      <c r="R198" s="5" t="n">
        <v>0.4583333333333333</v>
      </c>
      <c r="S198" s="5" t="n">
        <v>0.6458333333333334</v>
      </c>
      <c r="T198" s="5" t="n">
        <v>0.5104166666666666</v>
      </c>
      <c r="U198" s="5" t="n">
        <v>0.5520833333333334</v>
      </c>
      <c r="V198" s="3">
        <f>IF(COUNT(T198:U198)=2,ROUND((U198-T198)*1440,0),0)</f>
        <v/>
      </c>
    </row>
    <row r="199">
      <c r="A199" s="2" t="inlineStr">
        <is>
          <t>18888888-7</t>
        </is>
      </c>
      <c r="B199" s="3" t="inlineStr">
        <is>
          <t>Activo</t>
        </is>
      </c>
      <c r="C199" s="3" t="inlineStr">
        <is>
          <t>HUGO FUENTES (EJEMPLO)</t>
        </is>
      </c>
      <c r="D199" s="3" t="inlineStr">
        <is>
          <t>EXAMEN Y PROCEDIMIENTOS</t>
        </is>
      </c>
      <c r="E199" s="4" t="n">
        <v>46305</v>
      </c>
      <c r="F199" s="3" t="inlineStr">
        <is>
          <t>Sábado</t>
        </is>
      </c>
      <c r="G199" s="4" t="n">
        <v>46300</v>
      </c>
      <c r="H199" s="3" t="inlineStr">
        <is>
          <t>Intermedio S/sábado</t>
        </is>
      </c>
      <c r="I199" s="3" t="inlineStr">
        <is>
          <t>LIBRE</t>
        </is>
      </c>
      <c r="J199" s="5" t="n"/>
      <c r="K199" s="5" t="n"/>
      <c r="L199" s="5">
        <f>IF(COUNT(J199:K199)=2,K199-J199,0)</f>
        <v/>
      </c>
      <c r="M199" s="6">
        <f>L199*24</f>
        <v/>
      </c>
      <c r="N199" s="3" t="n">
        <v>0</v>
      </c>
      <c r="O199" s="6">
        <f>N199/60</f>
        <v/>
      </c>
      <c r="P199" s="6">
        <f>M199-O199</f>
        <v/>
      </c>
      <c r="Q199" s="6">
        <f>SUMIFS($P:$P,$A:$A,A199,$G:$G,G199)</f>
        <v/>
      </c>
      <c r="R199" s="5" t="n"/>
      <c r="S199" s="5" t="n"/>
      <c r="T199" s="5" t="n"/>
      <c r="U199" s="5" t="n"/>
      <c r="V199" s="3">
        <f>IF(COUNT(T199:U199)=2,ROUND((U199-T199)*1440,0),0)</f>
        <v/>
      </c>
    </row>
    <row r="200">
      <c r="A200" s="2" t="inlineStr">
        <is>
          <t>18888888-7</t>
        </is>
      </c>
      <c r="B200" s="3" t="inlineStr">
        <is>
          <t>Activo</t>
        </is>
      </c>
      <c r="C200" s="3" t="inlineStr">
        <is>
          <t>HUGO FUENTES (EJEMPLO)</t>
        </is>
      </c>
      <c r="D200" s="3" t="inlineStr">
        <is>
          <t>EXAMEN Y PROCEDIMIENTOS</t>
        </is>
      </c>
      <c r="E200" s="4" t="n">
        <v>46307</v>
      </c>
      <c r="F200" s="3" t="inlineStr">
        <is>
          <t>Lunes</t>
        </is>
      </c>
      <c r="G200" s="4" t="n">
        <v>46307</v>
      </c>
      <c r="H200" s="3" t="inlineStr">
        <is>
          <t>Tarde C/sábado</t>
        </is>
      </c>
      <c r="I200" s="3" t="inlineStr">
        <is>
          <t>FERIADO</t>
        </is>
      </c>
      <c r="J200" s="5" t="n"/>
      <c r="K200" s="5" t="n"/>
      <c r="L200" s="5">
        <f>IF(COUNT(J200:K200)=2,K200-J200,0)</f>
        <v/>
      </c>
      <c r="M200" s="6">
        <f>L200*24</f>
        <v/>
      </c>
      <c r="N200" s="3" t="n">
        <v>0</v>
      </c>
      <c r="O200" s="6">
        <f>N200/60</f>
        <v/>
      </c>
      <c r="P200" s="6">
        <f>M200-O200</f>
        <v/>
      </c>
      <c r="Q200" s="6">
        <f>SUMIFS($P:$P,$A:$A,A200,$G:$G,G200)</f>
        <v/>
      </c>
      <c r="R200" s="5" t="n"/>
      <c r="S200" s="5" t="n"/>
      <c r="T200" s="5" t="n"/>
      <c r="U200" s="5" t="n"/>
      <c r="V200" s="3">
        <f>IF(COUNT(T200:U200)=2,ROUND((U200-T200)*1440,0),0)</f>
        <v/>
      </c>
    </row>
    <row r="201">
      <c r="A201" s="2" t="inlineStr">
        <is>
          <t>18888888-7</t>
        </is>
      </c>
      <c r="B201" s="3" t="inlineStr">
        <is>
          <t>Activo</t>
        </is>
      </c>
      <c r="C201" s="3" t="inlineStr">
        <is>
          <t>HUGO FUENTES (EJEMPLO)</t>
        </is>
      </c>
      <c r="D201" s="3" t="inlineStr">
        <is>
          <t>EXAMEN Y PROCEDIMIENTOS</t>
        </is>
      </c>
      <c r="E201" s="4" t="n">
        <v>46308</v>
      </c>
      <c r="F201" s="3" t="inlineStr">
        <is>
          <t>Martes</t>
        </is>
      </c>
      <c r="G201" s="4" t="n">
        <v>46307</v>
      </c>
      <c r="H201" s="3" t="inlineStr">
        <is>
          <t>Tarde C/sábado</t>
        </is>
      </c>
      <c r="I201" s="3" t="inlineStr">
        <is>
          <t>TRABAJA</t>
        </is>
      </c>
      <c r="J201" s="5" t="n">
        <v>0.4791666666666667</v>
      </c>
      <c r="K201" s="5" t="n">
        <v>0.8333333333333334</v>
      </c>
      <c r="L201" s="5">
        <f>IF(COUNT(J201:K201)=2,K201-J201,0)</f>
        <v/>
      </c>
      <c r="M201" s="6">
        <f>L201*24</f>
        <v/>
      </c>
      <c r="N201" s="3" t="n">
        <v>60</v>
      </c>
      <c r="O201" s="6">
        <f>N201/60</f>
        <v/>
      </c>
      <c r="P201" s="6">
        <f>M201-O201</f>
        <v/>
      </c>
      <c r="Q201" s="6">
        <f>SUMIFS($P:$P,$A:$A,A201,$G:$G,G201)</f>
        <v/>
      </c>
      <c r="R201" s="5" t="n">
        <v>0.5625</v>
      </c>
      <c r="S201" s="5" t="n">
        <v>0.7916666666666666</v>
      </c>
      <c r="T201" s="5" t="n">
        <v>0.6666666666666666</v>
      </c>
      <c r="U201" s="5" t="n">
        <v>0.7083333333333334</v>
      </c>
      <c r="V201" s="3">
        <f>IF(COUNT(T201:U201)=2,ROUND((U201-T201)*1440,0),0)</f>
        <v/>
      </c>
    </row>
    <row r="202">
      <c r="A202" s="2" t="inlineStr">
        <is>
          <t>18888888-7</t>
        </is>
      </c>
      <c r="B202" s="3" t="inlineStr">
        <is>
          <t>Activo</t>
        </is>
      </c>
      <c r="C202" s="3" t="inlineStr">
        <is>
          <t>HUGO FUENTES (EJEMPLO)</t>
        </is>
      </c>
      <c r="D202" s="3" t="inlineStr">
        <is>
          <t>EXAMEN Y PROCEDIMIENTOS</t>
        </is>
      </c>
      <c r="E202" s="4" t="n">
        <v>46309</v>
      </c>
      <c r="F202" s="3" t="inlineStr">
        <is>
          <t>Miércoles</t>
        </is>
      </c>
      <c r="G202" s="4" t="n">
        <v>46307</v>
      </c>
      <c r="H202" s="3" t="inlineStr">
        <is>
          <t>Tarde C/sábado</t>
        </is>
      </c>
      <c r="I202" s="3" t="inlineStr">
        <is>
          <t>TRABAJA</t>
        </is>
      </c>
      <c r="J202" s="5" t="n">
        <v>0.4791666666666667</v>
      </c>
      <c r="K202" s="5" t="n">
        <v>0.8333333333333334</v>
      </c>
      <c r="L202" s="5">
        <f>IF(COUNT(J202:K202)=2,K202-J202,0)</f>
        <v/>
      </c>
      <c r="M202" s="6">
        <f>L202*24</f>
        <v/>
      </c>
      <c r="N202" s="3" t="n">
        <v>60</v>
      </c>
      <c r="O202" s="6">
        <f>N202/60</f>
        <v/>
      </c>
      <c r="P202" s="6">
        <f>M202-O202</f>
        <v/>
      </c>
      <c r="Q202" s="6">
        <f>SUMIFS($P:$P,$A:$A,A202,$G:$G,G202)</f>
        <v/>
      </c>
      <c r="R202" s="5" t="n">
        <v>0.5729166666666666</v>
      </c>
      <c r="S202" s="5" t="n">
        <v>0.7916666666666666</v>
      </c>
      <c r="T202" s="5" t="n">
        <v>0.6666666666666666</v>
      </c>
      <c r="U202" s="5" t="n">
        <v>0.7083333333333334</v>
      </c>
      <c r="V202" s="3">
        <f>IF(COUNT(T202:U202)=2,ROUND((U202-T202)*1440,0),0)</f>
        <v/>
      </c>
    </row>
    <row r="203">
      <c r="A203" s="2" t="inlineStr">
        <is>
          <t>18888888-7</t>
        </is>
      </c>
      <c r="B203" s="3" t="inlineStr">
        <is>
          <t>Activo</t>
        </is>
      </c>
      <c r="C203" s="3" t="inlineStr">
        <is>
          <t>HUGO FUENTES (EJEMPLO)</t>
        </is>
      </c>
      <c r="D203" s="3" t="inlineStr">
        <is>
          <t>EXAMEN Y PROCEDIMIENTOS</t>
        </is>
      </c>
      <c r="E203" s="4" t="n">
        <v>46310</v>
      </c>
      <c r="F203" s="3" t="inlineStr">
        <is>
          <t>Jueves</t>
        </is>
      </c>
      <c r="G203" s="4" t="n">
        <v>46307</v>
      </c>
      <c r="H203" s="3" t="inlineStr">
        <is>
          <t>Tarde C/sábado</t>
        </is>
      </c>
      <c r="I203" s="3" t="inlineStr">
        <is>
          <t>TRABAJA</t>
        </is>
      </c>
      <c r="J203" s="5" t="n">
        <v>0.5</v>
      </c>
      <c r="K203" s="5" t="n">
        <v>0.8333333333333334</v>
      </c>
      <c r="L203" s="5">
        <f>IF(COUNT(J203:K203)=2,K203-J203,0)</f>
        <v/>
      </c>
      <c r="M203" s="6">
        <f>L203*24</f>
        <v/>
      </c>
      <c r="N203" s="3" t="n">
        <v>60</v>
      </c>
      <c r="O203" s="6">
        <f>N203/60</f>
        <v/>
      </c>
      <c r="P203" s="6">
        <f>M203-O203</f>
        <v/>
      </c>
      <c r="Q203" s="6">
        <f>SUMIFS($P:$P,$A:$A,A203,$G:$G,G203)</f>
        <v/>
      </c>
      <c r="R203" s="5" t="n">
        <v>0.5833333333333334</v>
      </c>
      <c r="S203" s="5" t="n">
        <v>0.7708333333333334</v>
      </c>
      <c r="T203" s="5" t="n">
        <v>0.6458333333333334</v>
      </c>
      <c r="U203" s="5" t="n">
        <v>0.6875</v>
      </c>
      <c r="V203" s="3">
        <f>IF(COUNT(T203:U203)=2,ROUND((U203-T203)*1440,0),0)</f>
        <v/>
      </c>
    </row>
    <row r="204">
      <c r="A204" s="2" t="inlineStr">
        <is>
          <t>18888888-7</t>
        </is>
      </c>
      <c r="B204" s="3" t="inlineStr">
        <is>
          <t>Activo</t>
        </is>
      </c>
      <c r="C204" s="3" t="inlineStr">
        <is>
          <t>HUGO FUENTES (EJEMPLO)</t>
        </is>
      </c>
      <c r="D204" s="3" t="inlineStr">
        <is>
          <t>EXAMEN Y PROCEDIMIENTOS</t>
        </is>
      </c>
      <c r="E204" s="4" t="n">
        <v>46311</v>
      </c>
      <c r="F204" s="3" t="inlineStr">
        <is>
          <t>Viernes</t>
        </is>
      </c>
      <c r="G204" s="4" t="n">
        <v>46307</v>
      </c>
      <c r="H204" s="3" t="inlineStr">
        <is>
          <t>Tarde C/sábado</t>
        </is>
      </c>
      <c r="I204" s="3" t="inlineStr">
        <is>
          <t>TRABAJA</t>
        </is>
      </c>
      <c r="J204" s="5" t="n">
        <v>0.5</v>
      </c>
      <c r="K204" s="5" t="n">
        <v>0.8333333333333334</v>
      </c>
      <c r="L204" s="5">
        <f>IF(COUNT(J204:K204)=2,K204-J204,0)</f>
        <v/>
      </c>
      <c r="M204" s="6">
        <f>L204*24</f>
        <v/>
      </c>
      <c r="N204" s="3" t="n">
        <v>60</v>
      </c>
      <c r="O204" s="6">
        <f>N204/60</f>
        <v/>
      </c>
      <c r="P204" s="6">
        <f>M204-O204</f>
        <v/>
      </c>
      <c r="Q204" s="6">
        <f>SUMIFS($P:$P,$A:$A,A204,$G:$G,G204)</f>
        <v/>
      </c>
      <c r="R204" s="5" t="n">
        <v>0.5833333333333334</v>
      </c>
      <c r="S204" s="5" t="n">
        <v>0.7708333333333334</v>
      </c>
      <c r="T204" s="5" t="n">
        <v>0.6458333333333334</v>
      </c>
      <c r="U204" s="5" t="n">
        <v>0.6875</v>
      </c>
      <c r="V204" s="3">
        <f>IF(COUNT(T204:U204)=2,ROUND((U204-T204)*1440,0),0)</f>
        <v/>
      </c>
    </row>
    <row r="205">
      <c r="A205" s="2" t="inlineStr">
        <is>
          <t>18888888-7</t>
        </is>
      </c>
      <c r="B205" s="3" t="inlineStr">
        <is>
          <t>Activo</t>
        </is>
      </c>
      <c r="C205" s="3" t="inlineStr">
        <is>
          <t>HUGO FUENTES (EJEMPLO)</t>
        </is>
      </c>
      <c r="D205" s="3" t="inlineStr">
        <is>
          <t>EXAMEN Y PROCEDIMIENTOS</t>
        </is>
      </c>
      <c r="E205" s="4" t="n">
        <v>46312</v>
      </c>
      <c r="F205" s="3" t="inlineStr">
        <is>
          <t>Sábado</t>
        </is>
      </c>
      <c r="G205" s="4" t="n">
        <v>46307</v>
      </c>
      <c r="H205" s="3" t="inlineStr">
        <is>
          <t>Tarde C/sábado</t>
        </is>
      </c>
      <c r="I205" s="3" t="inlineStr">
        <is>
          <t>TRABAJA</t>
        </is>
      </c>
      <c r="J205" s="5" t="n">
        <v>0.3333333333333333</v>
      </c>
      <c r="K205" s="5" t="n">
        <v>0.5833333333333334</v>
      </c>
      <c r="L205" s="5">
        <f>IF(COUNT(J205:K205)=2,K205-J205,0)</f>
        <v/>
      </c>
      <c r="M205" s="6">
        <f>L205*24</f>
        <v/>
      </c>
      <c r="N205" s="3" t="n">
        <v>30</v>
      </c>
      <c r="O205" s="6">
        <f>N205/60</f>
        <v/>
      </c>
      <c r="P205" s="6">
        <f>M205-O205</f>
        <v/>
      </c>
      <c r="Q205" s="6">
        <f>SUMIFS($P:$P,$A:$A,A205,$G:$G,G205)</f>
        <v/>
      </c>
      <c r="R205" s="5" t="n"/>
      <c r="S205" s="5" t="n"/>
      <c r="T205" s="5" t="n">
        <v>0.4375</v>
      </c>
      <c r="U205" s="5" t="n">
        <v>0.4583333333333333</v>
      </c>
      <c r="V205" s="3">
        <f>IF(COUNT(T205:U205)=2,ROUND((U205-T205)*1440,0),0)</f>
        <v/>
      </c>
    </row>
    <row r="206">
      <c r="A206" s="2" t="inlineStr">
        <is>
          <t>18888888-7</t>
        </is>
      </c>
      <c r="B206" s="3" t="inlineStr">
        <is>
          <t>Activo</t>
        </is>
      </c>
      <c r="C206" s="3" t="inlineStr">
        <is>
          <t>HUGO FUENTES (EJEMPLO)</t>
        </is>
      </c>
      <c r="D206" s="3" t="inlineStr">
        <is>
          <t>EXAMEN Y PROCEDIMIENTOS</t>
        </is>
      </c>
      <c r="E206" s="4" t="n">
        <v>46314</v>
      </c>
      <c r="F206" s="3" t="inlineStr">
        <is>
          <t>Lunes</t>
        </is>
      </c>
      <c r="G206" s="4" t="n">
        <v>46314</v>
      </c>
      <c r="H206" s="3" t="inlineStr">
        <is>
          <t>Mañana S/sábado</t>
        </is>
      </c>
      <c r="I206" s="3" t="inlineStr">
        <is>
          <t>TRABAJA</t>
        </is>
      </c>
      <c r="J206" s="5" t="n">
        <v>0.3333333333333333</v>
      </c>
      <c r="K206" s="5" t="n">
        <v>0.7291666666666666</v>
      </c>
      <c r="L206" s="5">
        <f>IF(COUNT(J206:K206)=2,K206-J206,0)</f>
        <v/>
      </c>
      <c r="M206" s="6">
        <f>L206*24</f>
        <v/>
      </c>
      <c r="N206" s="3" t="n">
        <v>60</v>
      </c>
      <c r="O206" s="6">
        <f>N206/60</f>
        <v/>
      </c>
      <c r="P206" s="6">
        <f>M206-O206</f>
        <v/>
      </c>
      <c r="Q206" s="6">
        <f>SUMIFS($P:$P,$A:$A,A206,$G:$G,G206)</f>
        <v/>
      </c>
      <c r="R206" s="5" t="n">
        <v>0.4270833333333333</v>
      </c>
      <c r="S206" s="5" t="n">
        <v>0.6666666666666666</v>
      </c>
      <c r="T206" s="5" t="n">
        <v>0.5208333333333334</v>
      </c>
      <c r="U206" s="5" t="n">
        <v>0.5625</v>
      </c>
      <c r="V206" s="3">
        <f>IF(COUNT(T206:U206)=2,ROUND((U206-T206)*1440,0),0)</f>
        <v/>
      </c>
    </row>
    <row r="207">
      <c r="A207" s="2" t="inlineStr">
        <is>
          <t>18888888-7</t>
        </is>
      </c>
      <c r="B207" s="3" t="inlineStr">
        <is>
          <t>Activo</t>
        </is>
      </c>
      <c r="C207" s="3" t="inlineStr">
        <is>
          <t>HUGO FUENTES (EJEMPLO)</t>
        </is>
      </c>
      <c r="D207" s="3" t="inlineStr">
        <is>
          <t>EXAMEN Y PROCEDIMIENTOS</t>
        </is>
      </c>
      <c r="E207" s="4" t="n">
        <v>46315</v>
      </c>
      <c r="F207" s="3" t="inlineStr">
        <is>
          <t>Martes</t>
        </is>
      </c>
      <c r="G207" s="4" t="n">
        <v>46314</v>
      </c>
      <c r="H207" s="3" t="inlineStr">
        <is>
          <t>Mañana S/sábado</t>
        </is>
      </c>
      <c r="I207" s="3" t="inlineStr">
        <is>
          <t>TRABAJA</t>
        </is>
      </c>
      <c r="J207" s="5" t="n">
        <v>0.3333333333333333</v>
      </c>
      <c r="K207" s="5" t="n">
        <v>0.7291666666666666</v>
      </c>
      <c r="L207" s="5">
        <f>IF(COUNT(J207:K207)=2,K207-J207,0)</f>
        <v/>
      </c>
      <c r="M207" s="6">
        <f>L207*24</f>
        <v/>
      </c>
      <c r="N207" s="3" t="n">
        <v>60</v>
      </c>
      <c r="O207" s="6">
        <f>N207/60</f>
        <v/>
      </c>
      <c r="P207" s="6">
        <f>M207-O207</f>
        <v/>
      </c>
      <c r="Q207" s="6">
        <f>SUMIFS($P:$P,$A:$A,A207,$G:$G,G207)</f>
        <v/>
      </c>
      <c r="R207" s="5" t="n">
        <v>0.4270833333333333</v>
      </c>
      <c r="S207" s="5" t="n">
        <v>0.6666666666666666</v>
      </c>
      <c r="T207" s="5" t="n">
        <v>0.5208333333333334</v>
      </c>
      <c r="U207" s="5" t="n">
        <v>0.5625</v>
      </c>
      <c r="V207" s="3">
        <f>IF(COUNT(T207:U207)=2,ROUND((U207-T207)*1440,0),0)</f>
        <v/>
      </c>
    </row>
    <row r="208">
      <c r="A208" s="2" t="inlineStr">
        <is>
          <t>18888888-7</t>
        </is>
      </c>
      <c r="B208" s="3" t="inlineStr">
        <is>
          <t>Activo</t>
        </is>
      </c>
      <c r="C208" s="3" t="inlineStr">
        <is>
          <t>HUGO FUENTES (EJEMPLO)</t>
        </is>
      </c>
      <c r="D208" s="3" t="inlineStr">
        <is>
          <t>EXAMEN Y PROCEDIMIENTOS</t>
        </is>
      </c>
      <c r="E208" s="4" t="n">
        <v>46316</v>
      </c>
      <c r="F208" s="3" t="inlineStr">
        <is>
          <t>Miércoles</t>
        </is>
      </c>
      <c r="G208" s="4" t="n">
        <v>46314</v>
      </c>
      <c r="H208" s="3" t="inlineStr">
        <is>
          <t>Mañana S/sábado</t>
        </is>
      </c>
      <c r="I208" s="3" t="inlineStr">
        <is>
          <t>TRABAJA</t>
        </is>
      </c>
      <c r="J208" s="5" t="n">
        <v>0.3333333333333333</v>
      </c>
      <c r="K208" s="5" t="n">
        <v>0.7291666666666666</v>
      </c>
      <c r="L208" s="5">
        <f>IF(COUNT(J208:K208)=2,K208-J208,0)</f>
        <v/>
      </c>
      <c r="M208" s="6">
        <f>L208*24</f>
        <v/>
      </c>
      <c r="N208" s="3" t="n">
        <v>60</v>
      </c>
      <c r="O208" s="6">
        <f>N208/60</f>
        <v/>
      </c>
      <c r="P208" s="6">
        <f>M208-O208</f>
        <v/>
      </c>
      <c r="Q208" s="6">
        <f>SUMIFS($P:$P,$A:$A,A208,$G:$G,G208)</f>
        <v/>
      </c>
      <c r="R208" s="5" t="n">
        <v>0.4375</v>
      </c>
      <c r="S208" s="5" t="n">
        <v>0.6979166666666666</v>
      </c>
      <c r="T208" s="5" t="n">
        <v>0.5729166666666666</v>
      </c>
      <c r="U208" s="5" t="n">
        <v>0.6145833333333334</v>
      </c>
      <c r="V208" s="3">
        <f>IF(COUNT(T208:U208)=2,ROUND((U208-T208)*1440,0),0)</f>
        <v/>
      </c>
    </row>
    <row r="209">
      <c r="A209" s="2" t="inlineStr">
        <is>
          <t>18888888-7</t>
        </is>
      </c>
      <c r="B209" s="3" t="inlineStr">
        <is>
          <t>Activo</t>
        </is>
      </c>
      <c r="C209" s="3" t="inlineStr">
        <is>
          <t>HUGO FUENTES (EJEMPLO)</t>
        </is>
      </c>
      <c r="D209" s="3" t="inlineStr">
        <is>
          <t>EXAMEN Y PROCEDIMIENTOS</t>
        </is>
      </c>
      <c r="E209" s="4" t="n">
        <v>46317</v>
      </c>
      <c r="F209" s="3" t="inlineStr">
        <is>
          <t>Jueves</t>
        </is>
      </c>
      <c r="G209" s="4" t="n">
        <v>46314</v>
      </c>
      <c r="H209" s="3" t="inlineStr">
        <is>
          <t>Mañana S/sábado</t>
        </is>
      </c>
      <c r="I209" s="3" t="inlineStr">
        <is>
          <t>TRABAJA</t>
        </is>
      </c>
      <c r="J209" s="5" t="n">
        <v>0.3333333333333333</v>
      </c>
      <c r="K209" s="5" t="n">
        <v>0.7291666666666666</v>
      </c>
      <c r="L209" s="5">
        <f>IF(COUNT(J209:K209)=2,K209-J209,0)</f>
        <v/>
      </c>
      <c r="M209" s="6">
        <f>L209*24</f>
        <v/>
      </c>
      <c r="N209" s="3" t="n">
        <v>60</v>
      </c>
      <c r="O209" s="6">
        <f>N209/60</f>
        <v/>
      </c>
      <c r="P209" s="6">
        <f>M209-O209</f>
        <v/>
      </c>
      <c r="Q209" s="6">
        <f>SUMIFS($P:$P,$A:$A,A209,$G:$G,G209)</f>
        <v/>
      </c>
      <c r="R209" s="5" t="n">
        <v>0.4270833333333333</v>
      </c>
      <c r="S209" s="5" t="n">
        <v>0.6458333333333334</v>
      </c>
      <c r="T209" s="5" t="n">
        <v>0.5104166666666666</v>
      </c>
      <c r="U209" s="5" t="n">
        <v>0.5520833333333334</v>
      </c>
      <c r="V209" s="3">
        <f>IF(COUNT(T209:U209)=2,ROUND((U209-T209)*1440,0),0)</f>
        <v/>
      </c>
    </row>
    <row r="210">
      <c r="A210" s="2" t="inlineStr">
        <is>
          <t>18888888-7</t>
        </is>
      </c>
      <c r="B210" s="3" t="inlineStr">
        <is>
          <t>Activo</t>
        </is>
      </c>
      <c r="C210" s="3" t="inlineStr">
        <is>
          <t>HUGO FUENTES (EJEMPLO)</t>
        </is>
      </c>
      <c r="D210" s="3" t="inlineStr">
        <is>
          <t>EXAMEN Y PROCEDIMIENTOS</t>
        </is>
      </c>
      <c r="E210" s="4" t="n">
        <v>46318</v>
      </c>
      <c r="F210" s="3" t="inlineStr">
        <is>
          <t>Viernes</t>
        </is>
      </c>
      <c r="G210" s="4" t="n">
        <v>46314</v>
      </c>
      <c r="H210" s="3" t="inlineStr">
        <is>
          <t>Mañana S/sábado</t>
        </is>
      </c>
      <c r="I210" s="3" t="inlineStr">
        <is>
          <t>TRABAJA</t>
        </is>
      </c>
      <c r="J210" s="5" t="n">
        <v>0.3333333333333333</v>
      </c>
      <c r="K210" s="5" t="n">
        <v>0.7083333333333334</v>
      </c>
      <c r="L210" s="5">
        <f>IF(COUNT(J210:K210)=2,K210-J210,0)</f>
        <v/>
      </c>
      <c r="M210" s="6">
        <f>L210*24</f>
        <v/>
      </c>
      <c r="N210" s="3" t="n">
        <v>60</v>
      </c>
      <c r="O210" s="6">
        <f>N210/60</f>
        <v/>
      </c>
      <c r="P210" s="6">
        <f>M210-O210</f>
        <v/>
      </c>
      <c r="Q210" s="6">
        <f>SUMIFS($P:$P,$A:$A,A210,$G:$G,G210)</f>
        <v/>
      </c>
      <c r="R210" s="5" t="n">
        <v>0.4270833333333333</v>
      </c>
      <c r="S210" s="5" t="n">
        <v>0.6770833333333334</v>
      </c>
      <c r="T210" s="5" t="n">
        <v>0.5520833333333334</v>
      </c>
      <c r="U210" s="5" t="n">
        <v>0.59375</v>
      </c>
      <c r="V210" s="3">
        <f>IF(COUNT(T210:U210)=2,ROUND((U210-T210)*1440,0),0)</f>
        <v/>
      </c>
    </row>
    <row r="211">
      <c r="A211" s="2" t="inlineStr">
        <is>
          <t>18888888-7</t>
        </is>
      </c>
      <c r="B211" s="3" t="inlineStr">
        <is>
          <t>Activo</t>
        </is>
      </c>
      <c r="C211" s="3" t="inlineStr">
        <is>
          <t>HUGO FUENTES (EJEMPLO)</t>
        </is>
      </c>
      <c r="D211" s="3" t="inlineStr">
        <is>
          <t>EXAMEN Y PROCEDIMIENTOS</t>
        </is>
      </c>
      <c r="E211" s="4" t="n">
        <v>46319</v>
      </c>
      <c r="F211" s="3" t="inlineStr">
        <is>
          <t>Sábado</t>
        </is>
      </c>
      <c r="G211" s="4" t="n">
        <v>46314</v>
      </c>
      <c r="H211" s="3" t="inlineStr">
        <is>
          <t>Mañana S/sábado</t>
        </is>
      </c>
      <c r="I211" s="3" t="inlineStr">
        <is>
          <t>LIBRE</t>
        </is>
      </c>
      <c r="J211" s="5" t="n"/>
      <c r="K211" s="5" t="n"/>
      <c r="L211" s="5">
        <f>IF(COUNT(J211:K211)=2,K211-J211,0)</f>
        <v/>
      </c>
      <c r="M211" s="6">
        <f>L211*24</f>
        <v/>
      </c>
      <c r="N211" s="3" t="n">
        <v>0</v>
      </c>
      <c r="O211" s="6">
        <f>N211/60</f>
        <v/>
      </c>
      <c r="P211" s="6">
        <f>M211-O211</f>
        <v/>
      </c>
      <c r="Q211" s="6">
        <f>SUMIFS($P:$P,$A:$A,A211,$G:$G,G211)</f>
        <v/>
      </c>
      <c r="R211" s="5" t="n"/>
      <c r="S211" s="5" t="n"/>
      <c r="T211" s="5" t="n"/>
      <c r="U211" s="5" t="n"/>
      <c r="V211" s="3">
        <f>IF(COUNT(T211:U211)=2,ROUND((U211-T211)*1440,0),0)</f>
        <v/>
      </c>
    </row>
    <row r="212">
      <c r="A212" s="2" t="inlineStr">
        <is>
          <t>18888888-7</t>
        </is>
      </c>
      <c r="B212" s="3" t="inlineStr">
        <is>
          <t>Activo</t>
        </is>
      </c>
      <c r="C212" s="3" t="inlineStr">
        <is>
          <t>HUGO FUENTES (EJEMPLO)</t>
        </is>
      </c>
      <c r="D212" s="3" t="inlineStr">
        <is>
          <t>EXAMEN Y PROCEDIMIENTOS</t>
        </is>
      </c>
      <c r="E212" s="4" t="n">
        <v>46321</v>
      </c>
      <c r="F212" s="3" t="inlineStr">
        <is>
          <t>Lunes</t>
        </is>
      </c>
      <c r="G212" s="4" t="n">
        <v>46321</v>
      </c>
      <c r="H212" s="3" t="inlineStr">
        <is>
          <t>Mañana S/sábado</t>
        </is>
      </c>
      <c r="I212" s="3" t="inlineStr">
        <is>
          <t>TRABAJA</t>
        </is>
      </c>
      <c r="J212" s="5" t="n">
        <v>0.3333333333333333</v>
      </c>
      <c r="K212" s="5" t="n">
        <v>0.7291666666666666</v>
      </c>
      <c r="L212" s="5">
        <f>IF(COUNT(J212:K212)=2,K212-J212,0)</f>
        <v/>
      </c>
      <c r="M212" s="6">
        <f>L212*24</f>
        <v/>
      </c>
      <c r="N212" s="3" t="n">
        <v>60</v>
      </c>
      <c r="O212" s="6">
        <f>N212/60</f>
        <v/>
      </c>
      <c r="P212" s="6">
        <f>M212-O212</f>
        <v/>
      </c>
      <c r="Q212" s="6">
        <f>SUMIFS($P:$P,$A:$A,A212,$G:$G,G212)</f>
        <v/>
      </c>
      <c r="R212" s="5" t="n">
        <v>0.4479166666666667</v>
      </c>
      <c r="S212" s="5" t="n">
        <v>0.6770833333333334</v>
      </c>
      <c r="T212" s="5" t="n">
        <v>0.5520833333333334</v>
      </c>
      <c r="U212" s="5" t="n">
        <v>0.59375</v>
      </c>
      <c r="V212" s="3">
        <f>IF(COUNT(T212:U212)=2,ROUND((U212-T212)*1440,0),0)</f>
        <v/>
      </c>
    </row>
    <row r="213">
      <c r="A213" s="2" t="inlineStr">
        <is>
          <t>18888888-7</t>
        </is>
      </c>
      <c r="B213" s="3" t="inlineStr">
        <is>
          <t>Activo</t>
        </is>
      </c>
      <c r="C213" s="3" t="inlineStr">
        <is>
          <t>HUGO FUENTES (EJEMPLO)</t>
        </is>
      </c>
      <c r="D213" s="3" t="inlineStr">
        <is>
          <t>EXAMEN Y PROCEDIMIENTOS</t>
        </is>
      </c>
      <c r="E213" s="4" t="n">
        <v>46322</v>
      </c>
      <c r="F213" s="3" t="inlineStr">
        <is>
          <t>Martes</t>
        </is>
      </c>
      <c r="G213" s="4" t="n">
        <v>46321</v>
      </c>
      <c r="H213" s="3" t="inlineStr">
        <is>
          <t>Mañana S/sábado</t>
        </is>
      </c>
      <c r="I213" s="3" t="inlineStr">
        <is>
          <t>TRABAJA</t>
        </is>
      </c>
      <c r="J213" s="5" t="n">
        <v>0.3333333333333333</v>
      </c>
      <c r="K213" s="5" t="n">
        <v>0.7291666666666666</v>
      </c>
      <c r="L213" s="5">
        <f>IF(COUNT(J213:K213)=2,K213-J213,0)</f>
        <v/>
      </c>
      <c r="M213" s="6">
        <f>L213*24</f>
        <v/>
      </c>
      <c r="N213" s="3" t="n">
        <v>60</v>
      </c>
      <c r="O213" s="6">
        <f>N213/60</f>
        <v/>
      </c>
      <c r="P213" s="6">
        <f>M213-O213</f>
        <v/>
      </c>
      <c r="Q213" s="6">
        <f>SUMIFS($P:$P,$A:$A,A213,$G:$G,G213)</f>
        <v/>
      </c>
      <c r="R213" s="5" t="n">
        <v>0.4479166666666667</v>
      </c>
      <c r="S213" s="5" t="n">
        <v>0.6770833333333334</v>
      </c>
      <c r="T213" s="5" t="n">
        <v>0.5520833333333334</v>
      </c>
      <c r="U213" s="5" t="n">
        <v>0.59375</v>
      </c>
      <c r="V213" s="3">
        <f>IF(COUNT(T213:U213)=2,ROUND((U213-T213)*1440,0),0)</f>
        <v/>
      </c>
    </row>
    <row r="214">
      <c r="A214" s="2" t="inlineStr">
        <is>
          <t>18888888-7</t>
        </is>
      </c>
      <c r="B214" s="3" t="inlineStr">
        <is>
          <t>Activo</t>
        </is>
      </c>
      <c r="C214" s="3" t="inlineStr">
        <is>
          <t>HUGO FUENTES (EJEMPLO)</t>
        </is>
      </c>
      <c r="D214" s="3" t="inlineStr">
        <is>
          <t>EXAMEN Y PROCEDIMIENTOS</t>
        </is>
      </c>
      <c r="E214" s="4" t="n">
        <v>46323</v>
      </c>
      <c r="F214" s="3" t="inlineStr">
        <is>
          <t>Miércoles</t>
        </is>
      </c>
      <c r="G214" s="4" t="n">
        <v>46321</v>
      </c>
      <c r="H214" s="3" t="inlineStr">
        <is>
          <t>Mañana S/sábado</t>
        </is>
      </c>
      <c r="I214" s="3" t="inlineStr">
        <is>
          <t>TRABAJA</t>
        </is>
      </c>
      <c r="J214" s="5" t="n">
        <v>0.3333333333333333</v>
      </c>
      <c r="K214" s="5" t="n">
        <v>0.7291666666666666</v>
      </c>
      <c r="L214" s="5">
        <f>IF(COUNT(J214:K214)=2,K214-J214,0)</f>
        <v/>
      </c>
      <c r="M214" s="6">
        <f>L214*24</f>
        <v/>
      </c>
      <c r="N214" s="3" t="n">
        <v>60</v>
      </c>
      <c r="O214" s="6">
        <f>N214/60</f>
        <v/>
      </c>
      <c r="P214" s="6">
        <f>M214-O214</f>
        <v/>
      </c>
      <c r="Q214" s="6">
        <f>SUMIFS($P:$P,$A:$A,A214,$G:$G,G214)</f>
        <v/>
      </c>
      <c r="R214" s="5" t="n">
        <v>0.4270833333333333</v>
      </c>
      <c r="S214" s="5" t="n">
        <v>0.6458333333333334</v>
      </c>
      <c r="T214" s="5" t="n">
        <v>0.4791666666666667</v>
      </c>
      <c r="U214" s="5" t="n">
        <v>0.5208333333333334</v>
      </c>
      <c r="V214" s="3">
        <f>IF(COUNT(T214:U214)=2,ROUND((U214-T214)*1440,0),0)</f>
        <v/>
      </c>
    </row>
    <row r="215">
      <c r="A215" s="2" t="inlineStr">
        <is>
          <t>18888888-7</t>
        </is>
      </c>
      <c r="B215" s="3" t="inlineStr">
        <is>
          <t>Activo</t>
        </is>
      </c>
      <c r="C215" s="3" t="inlineStr">
        <is>
          <t>HUGO FUENTES (EJEMPLO)</t>
        </is>
      </c>
      <c r="D215" s="3" t="inlineStr">
        <is>
          <t>EXAMEN Y PROCEDIMIENTOS</t>
        </is>
      </c>
      <c r="E215" s="4" t="n">
        <v>46324</v>
      </c>
      <c r="F215" s="3" t="inlineStr">
        <is>
          <t>Jueves</t>
        </is>
      </c>
      <c r="G215" s="4" t="n">
        <v>46321</v>
      </c>
      <c r="H215" s="3" t="inlineStr">
        <is>
          <t>Mañana S/sábado</t>
        </is>
      </c>
      <c r="I215" s="3" t="inlineStr">
        <is>
          <t>TRABAJA</t>
        </is>
      </c>
      <c r="J215" s="5" t="n">
        <v>0.3333333333333333</v>
      </c>
      <c r="K215" s="5" t="n">
        <v>0.7291666666666666</v>
      </c>
      <c r="L215" s="5">
        <f>IF(COUNT(J215:K215)=2,K215-J215,0)</f>
        <v/>
      </c>
      <c r="M215" s="6">
        <f>L215*24</f>
        <v/>
      </c>
      <c r="N215" s="3" t="n">
        <v>60</v>
      </c>
      <c r="O215" s="6">
        <f>N215/60</f>
        <v/>
      </c>
      <c r="P215" s="6">
        <f>M215-O215</f>
        <v/>
      </c>
      <c r="Q215" s="6">
        <f>SUMIFS($P:$P,$A:$A,A215,$G:$G,G215)</f>
        <v/>
      </c>
      <c r="R215" s="5" t="n">
        <v>0.4270833333333333</v>
      </c>
      <c r="S215" s="5" t="n">
        <v>0.6041666666666666</v>
      </c>
      <c r="T215" s="5" t="n">
        <v>0.4791666666666667</v>
      </c>
      <c r="U215" s="5" t="n">
        <v>0.5208333333333334</v>
      </c>
      <c r="V215" s="3">
        <f>IF(COUNT(T215:U215)=2,ROUND((U215-T215)*1440,0),0)</f>
        <v/>
      </c>
    </row>
    <row r="216">
      <c r="A216" s="2" t="inlineStr">
        <is>
          <t>18888888-7</t>
        </is>
      </c>
      <c r="B216" s="3" t="inlineStr">
        <is>
          <t>Activo</t>
        </is>
      </c>
      <c r="C216" s="3" t="inlineStr">
        <is>
          <t>HUGO FUENTES (EJEMPLO)</t>
        </is>
      </c>
      <c r="D216" s="3" t="inlineStr">
        <is>
          <t>EXAMEN Y PROCEDIMIENTOS</t>
        </is>
      </c>
      <c r="E216" s="4" t="n">
        <v>46325</v>
      </c>
      <c r="F216" s="3" t="inlineStr">
        <is>
          <t>Viernes</t>
        </is>
      </c>
      <c r="G216" s="4" t="n">
        <v>46321</v>
      </c>
      <c r="H216" s="3" t="inlineStr">
        <is>
          <t>Mañana S/sábado</t>
        </is>
      </c>
      <c r="I216" s="3" t="inlineStr">
        <is>
          <t>TRABAJA</t>
        </is>
      </c>
      <c r="J216" s="5" t="n">
        <v>0.3333333333333333</v>
      </c>
      <c r="K216" s="5" t="n">
        <v>0.7083333333333334</v>
      </c>
      <c r="L216" s="5">
        <f>IF(COUNT(J216:K216)=2,K216-J216,0)</f>
        <v/>
      </c>
      <c r="M216" s="6">
        <f>L216*24</f>
        <v/>
      </c>
      <c r="N216" s="3" t="n">
        <v>60</v>
      </c>
      <c r="O216" s="6">
        <f>N216/60</f>
        <v/>
      </c>
      <c r="P216" s="6">
        <f>M216-O216</f>
        <v/>
      </c>
      <c r="Q216" s="6">
        <f>SUMIFS($P:$P,$A:$A,A216,$G:$G,G216)</f>
        <v/>
      </c>
      <c r="R216" s="5" t="n">
        <v>0.4479166666666667</v>
      </c>
      <c r="S216" s="5" t="n">
        <v>0.6458333333333334</v>
      </c>
      <c r="T216" s="5" t="n">
        <v>0.5104166666666666</v>
      </c>
      <c r="U216" s="5" t="n">
        <v>0.5520833333333334</v>
      </c>
      <c r="V216" s="3">
        <f>IF(COUNT(T216:U216)=2,ROUND((U216-T216)*1440,0),0)</f>
        <v/>
      </c>
    </row>
    <row r="217">
      <c r="A217" s="2" t="inlineStr">
        <is>
          <t>18888888-7</t>
        </is>
      </c>
      <c r="B217" s="3" t="inlineStr">
        <is>
          <t>Activo</t>
        </is>
      </c>
      <c r="C217" s="3" t="inlineStr">
        <is>
          <t>HUGO FUENTES (EJEMPLO)</t>
        </is>
      </c>
      <c r="D217" s="3" t="inlineStr">
        <is>
          <t>EXAMEN Y PROCEDIMIENTOS</t>
        </is>
      </c>
      <c r="E217" s="4" t="n">
        <v>46326</v>
      </c>
      <c r="F217" s="3" t="inlineStr">
        <is>
          <t>Sábado</t>
        </is>
      </c>
      <c r="G217" s="4" t="n">
        <v>46321</v>
      </c>
      <c r="H217" s="3" t="inlineStr">
        <is>
          <t>Mañana S/sábado</t>
        </is>
      </c>
      <c r="I217" s="3" t="inlineStr">
        <is>
          <t>FERIADO</t>
        </is>
      </c>
      <c r="J217" s="5" t="n"/>
      <c r="K217" s="5" t="n"/>
      <c r="L217" s="5">
        <f>IF(COUNT(J217:K217)=2,K217-J217,0)</f>
        <v/>
      </c>
      <c r="M217" s="6">
        <f>L217*24</f>
        <v/>
      </c>
      <c r="N217" s="3" t="n">
        <v>0</v>
      </c>
      <c r="O217" s="6">
        <f>N217/60</f>
        <v/>
      </c>
      <c r="P217" s="6">
        <f>M217-O217</f>
        <v/>
      </c>
      <c r="Q217" s="6">
        <f>SUMIFS($P:$P,$A:$A,A217,$G:$G,G217)</f>
        <v/>
      </c>
      <c r="R217" s="5" t="n"/>
      <c r="S217" s="5" t="n"/>
      <c r="T217" s="5" t="n"/>
      <c r="U217" s="5" t="n"/>
      <c r="V217" s="3">
        <f>IF(COUNT(T217:U217)=2,ROUND((U217-T217)*1440,0),0)</f>
        <v/>
      </c>
    </row>
    <row r="218">
      <c r="A218" s="2" t="inlineStr">
        <is>
          <t>19999999-0</t>
        </is>
      </c>
      <c r="B218" s="3" t="inlineStr">
        <is>
          <t>Activo</t>
        </is>
      </c>
      <c r="C218" s="3" t="inlineStr">
        <is>
          <t>ISABEL CASTRO (EJEMPLO)</t>
        </is>
      </c>
      <c r="D218" s="3" t="inlineStr">
        <is>
          <t>EXAMEN Y PROCEDIMIENTOS</t>
        </is>
      </c>
      <c r="E218" s="4" t="n">
        <v>46296</v>
      </c>
      <c r="F218" s="3" t="inlineStr">
        <is>
          <t>Jueves</t>
        </is>
      </c>
      <c r="G218" s="4" t="n">
        <v>46293</v>
      </c>
      <c r="H218" s="3" t="inlineStr">
        <is>
          <t>Intermedio S/sábado</t>
        </is>
      </c>
      <c r="I218" s="3" t="inlineStr">
        <is>
          <t>TRABAJA</t>
        </is>
      </c>
      <c r="J218" s="5" t="n">
        <v>0.375</v>
      </c>
      <c r="K218" s="5" t="n">
        <v>0.75</v>
      </c>
      <c r="L218" s="5">
        <f>IF(COUNT(J218:K218)=2,K218-J218,0)</f>
        <v/>
      </c>
      <c r="M218" s="6">
        <f>L218*24</f>
        <v/>
      </c>
      <c r="N218" s="3" t="n">
        <v>60</v>
      </c>
      <c r="O218" s="6">
        <f>N218/60</f>
        <v/>
      </c>
      <c r="P218" s="6">
        <f>M218-O218</f>
        <v/>
      </c>
      <c r="Q218" s="6">
        <f>SUMIFS($P:$P,$A:$A,A218,$G:$G,G218)</f>
        <v/>
      </c>
      <c r="R218" s="5" t="n">
        <v>0.4583333333333333</v>
      </c>
      <c r="S218" s="5" t="n">
        <v>0.6979166666666666</v>
      </c>
      <c r="T218" s="5" t="n">
        <v>0.5416666666666666</v>
      </c>
      <c r="U218" s="5" t="n">
        <v>0.5833333333333334</v>
      </c>
      <c r="V218" s="3">
        <f>IF(COUNT(T218:U218)=2,ROUND((U218-T218)*1440,0),0)</f>
        <v/>
      </c>
    </row>
    <row r="219">
      <c r="A219" s="2" t="inlineStr">
        <is>
          <t>19999999-0</t>
        </is>
      </c>
      <c r="B219" s="3" t="inlineStr">
        <is>
          <t>Activo</t>
        </is>
      </c>
      <c r="C219" s="3" t="inlineStr">
        <is>
          <t>ISABEL CASTRO (EJEMPLO)</t>
        </is>
      </c>
      <c r="D219" s="3" t="inlineStr">
        <is>
          <t>EXAMEN Y PROCEDIMIENTOS</t>
        </is>
      </c>
      <c r="E219" s="4" t="n">
        <v>46297</v>
      </c>
      <c r="F219" s="3" t="inlineStr">
        <is>
          <t>Viernes</t>
        </is>
      </c>
      <c r="G219" s="4" t="n">
        <v>46293</v>
      </c>
      <c r="H219" s="3" t="inlineStr">
        <is>
          <t>Intermedio S/sábado</t>
        </is>
      </c>
      <c r="I219" s="3" t="inlineStr">
        <is>
          <t>TRABAJA</t>
        </is>
      </c>
      <c r="J219" s="5" t="n">
        <v>0.375</v>
      </c>
      <c r="K219" s="5" t="n">
        <v>0.75</v>
      </c>
      <c r="L219" s="5">
        <f>IF(COUNT(J219:K219)=2,K219-J219,0)</f>
        <v/>
      </c>
      <c r="M219" s="6">
        <f>L219*24</f>
        <v/>
      </c>
      <c r="N219" s="3" t="n">
        <v>60</v>
      </c>
      <c r="O219" s="6">
        <f>N219/60</f>
        <v/>
      </c>
      <c r="P219" s="6">
        <f>M219-O219</f>
        <v/>
      </c>
      <c r="Q219" s="6">
        <f>SUMIFS($P:$P,$A:$A,A219,$G:$G,G219)</f>
        <v/>
      </c>
      <c r="R219" s="5" t="n">
        <v>0.4583333333333333</v>
      </c>
      <c r="S219" s="5" t="n">
        <v>0.6979166666666666</v>
      </c>
      <c r="T219" s="5" t="n">
        <v>0.5520833333333334</v>
      </c>
      <c r="U219" s="5" t="n">
        <v>0.59375</v>
      </c>
      <c r="V219" s="3">
        <f>IF(COUNT(T219:U219)=2,ROUND((U219-T219)*1440,0),0)</f>
        <v/>
      </c>
    </row>
    <row r="220">
      <c r="A220" s="2" t="inlineStr">
        <is>
          <t>19999999-0</t>
        </is>
      </c>
      <c r="B220" s="3" t="inlineStr">
        <is>
          <t>Activo</t>
        </is>
      </c>
      <c r="C220" s="3" t="inlineStr">
        <is>
          <t>ISABEL CASTRO (EJEMPLO)</t>
        </is>
      </c>
      <c r="D220" s="3" t="inlineStr">
        <is>
          <t>EXAMEN Y PROCEDIMIENTOS</t>
        </is>
      </c>
      <c r="E220" s="4" t="n">
        <v>46298</v>
      </c>
      <c r="F220" s="3" t="inlineStr">
        <is>
          <t>Sábado</t>
        </is>
      </c>
      <c r="G220" s="4" t="n">
        <v>46293</v>
      </c>
      <c r="H220" s="3" t="inlineStr">
        <is>
          <t>Intermedio S/sábado</t>
        </is>
      </c>
      <c r="I220" s="3" t="inlineStr">
        <is>
          <t>LIBRE</t>
        </is>
      </c>
      <c r="J220" s="5" t="n"/>
      <c r="K220" s="5" t="n"/>
      <c r="L220" s="5">
        <f>IF(COUNT(J220:K220)=2,K220-J220,0)</f>
        <v/>
      </c>
      <c r="M220" s="6">
        <f>L220*24</f>
        <v/>
      </c>
      <c r="N220" s="3" t="n">
        <v>0</v>
      </c>
      <c r="O220" s="6">
        <f>N220/60</f>
        <v/>
      </c>
      <c r="P220" s="6">
        <f>M220-O220</f>
        <v/>
      </c>
      <c r="Q220" s="6">
        <f>SUMIFS($P:$P,$A:$A,A220,$G:$G,G220)</f>
        <v/>
      </c>
      <c r="R220" s="5" t="n"/>
      <c r="S220" s="5" t="n"/>
      <c r="T220" s="5" t="n"/>
      <c r="U220" s="5" t="n"/>
      <c r="V220" s="3">
        <f>IF(COUNT(T220:U220)=2,ROUND((U220-T220)*1440,0),0)</f>
        <v/>
      </c>
    </row>
    <row r="221">
      <c r="A221" s="2" t="inlineStr">
        <is>
          <t>19999999-0</t>
        </is>
      </c>
      <c r="B221" s="3" t="inlineStr">
        <is>
          <t>Activo</t>
        </is>
      </c>
      <c r="C221" s="3" t="inlineStr">
        <is>
          <t>ISABEL CASTRO (EJEMPLO)</t>
        </is>
      </c>
      <c r="D221" s="3" t="inlineStr">
        <is>
          <t>EXAMEN Y PROCEDIMIENTOS</t>
        </is>
      </c>
      <c r="E221" s="4" t="n">
        <v>46300</v>
      </c>
      <c r="F221" s="3" t="inlineStr">
        <is>
          <t>Lunes</t>
        </is>
      </c>
      <c r="G221" s="4" t="n">
        <v>46300</v>
      </c>
      <c r="H221" s="3" t="inlineStr">
        <is>
          <t>Mañana C/sábado</t>
        </is>
      </c>
      <c r="I221" s="3" t="inlineStr">
        <is>
          <t>TRABAJA</t>
        </is>
      </c>
      <c r="J221" s="5" t="n">
        <v>0.3333333333333333</v>
      </c>
      <c r="K221" s="5" t="n">
        <v>0.6875</v>
      </c>
      <c r="L221" s="5">
        <f>IF(COUNT(J221:K221)=2,K221-J221,0)</f>
        <v/>
      </c>
      <c r="M221" s="6">
        <f>L221*24</f>
        <v/>
      </c>
      <c r="N221" s="3" t="n">
        <v>60</v>
      </c>
      <c r="O221" s="6">
        <f>N221/60</f>
        <v/>
      </c>
      <c r="P221" s="6">
        <f>M221-O221</f>
        <v/>
      </c>
      <c r="Q221" s="6">
        <f>SUMIFS($P:$P,$A:$A,A221,$G:$G,G221)</f>
        <v/>
      </c>
      <c r="R221" s="5" t="n">
        <v>0.4270833333333333</v>
      </c>
      <c r="S221" s="5" t="n">
        <v>0.6041666666666666</v>
      </c>
      <c r="T221" s="5" t="n">
        <v>0.4791666666666667</v>
      </c>
      <c r="U221" s="5" t="n">
        <v>0.5208333333333334</v>
      </c>
      <c r="V221" s="3">
        <f>IF(COUNT(T221:U221)=2,ROUND((U221-T221)*1440,0),0)</f>
        <v/>
      </c>
    </row>
    <row r="222">
      <c r="A222" s="2" t="inlineStr">
        <is>
          <t>19999999-0</t>
        </is>
      </c>
      <c r="B222" s="3" t="inlineStr">
        <is>
          <t>Activo</t>
        </is>
      </c>
      <c r="C222" s="3" t="inlineStr">
        <is>
          <t>ISABEL CASTRO (EJEMPLO)</t>
        </is>
      </c>
      <c r="D222" s="3" t="inlineStr">
        <is>
          <t>EXAMEN Y PROCEDIMIENTOS</t>
        </is>
      </c>
      <c r="E222" s="4" t="n">
        <v>46301</v>
      </c>
      <c r="F222" s="3" t="inlineStr">
        <is>
          <t>Martes</t>
        </is>
      </c>
      <c r="G222" s="4" t="n">
        <v>46300</v>
      </c>
      <c r="H222" s="3" t="inlineStr">
        <is>
          <t>Mañana C/sábado</t>
        </is>
      </c>
      <c r="I222" s="3" t="inlineStr">
        <is>
          <t>TRABAJA</t>
        </is>
      </c>
      <c r="J222" s="5" t="n">
        <v>0.3333333333333333</v>
      </c>
      <c r="K222" s="5" t="n">
        <v>0.6875</v>
      </c>
      <c r="L222" s="5">
        <f>IF(COUNT(J222:K222)=2,K222-J222,0)</f>
        <v/>
      </c>
      <c r="M222" s="6">
        <f>L222*24</f>
        <v/>
      </c>
      <c r="N222" s="3" t="n">
        <v>60</v>
      </c>
      <c r="O222" s="6">
        <f>N222/60</f>
        <v/>
      </c>
      <c r="P222" s="6">
        <f>M222-O222</f>
        <v/>
      </c>
      <c r="Q222" s="6">
        <f>SUMIFS($P:$P,$A:$A,A222,$G:$G,G222)</f>
        <v/>
      </c>
      <c r="R222" s="5" t="n">
        <v>0.4270833333333333</v>
      </c>
      <c r="S222" s="5" t="n">
        <v>0.6041666666666666</v>
      </c>
      <c r="T222" s="5" t="n">
        <v>0.4791666666666667</v>
      </c>
      <c r="U222" s="5" t="n">
        <v>0.5208333333333334</v>
      </c>
      <c r="V222" s="3">
        <f>IF(COUNT(T222:U222)=2,ROUND((U222-T222)*1440,0),0)</f>
        <v/>
      </c>
    </row>
    <row r="223">
      <c r="A223" s="2" t="inlineStr">
        <is>
          <t>19999999-0</t>
        </is>
      </c>
      <c r="B223" s="3" t="inlineStr">
        <is>
          <t>Activo</t>
        </is>
      </c>
      <c r="C223" s="3" t="inlineStr">
        <is>
          <t>ISABEL CASTRO (EJEMPLO)</t>
        </is>
      </c>
      <c r="D223" s="3" t="inlineStr">
        <is>
          <t>EXAMEN Y PROCEDIMIENTOS</t>
        </is>
      </c>
      <c r="E223" s="4" t="n">
        <v>46302</v>
      </c>
      <c r="F223" s="3" t="inlineStr">
        <is>
          <t>Miércoles</t>
        </is>
      </c>
      <c r="G223" s="4" t="n">
        <v>46300</v>
      </c>
      <c r="H223" s="3" t="inlineStr">
        <is>
          <t>Mañana C/sábado</t>
        </is>
      </c>
      <c r="I223" s="3" t="inlineStr">
        <is>
          <t>TRABAJA</t>
        </is>
      </c>
      <c r="J223" s="5" t="n">
        <v>0.3333333333333333</v>
      </c>
      <c r="K223" s="5" t="n">
        <v>0.6875</v>
      </c>
      <c r="L223" s="5">
        <f>IF(COUNT(J223:K223)=2,K223-J223,0)</f>
        <v/>
      </c>
      <c r="M223" s="6">
        <f>L223*24</f>
        <v/>
      </c>
      <c r="N223" s="3" t="n">
        <v>60</v>
      </c>
      <c r="O223" s="6">
        <f>N223/60</f>
        <v/>
      </c>
      <c r="P223" s="6">
        <f>M223-O223</f>
        <v/>
      </c>
      <c r="Q223" s="6">
        <f>SUMIFS($P:$P,$A:$A,A223,$G:$G,G223)</f>
        <v/>
      </c>
      <c r="R223" s="5" t="n">
        <v>0.4270833333333333</v>
      </c>
      <c r="S223" s="5" t="n">
        <v>0.6354166666666666</v>
      </c>
      <c r="T223" s="5" t="n">
        <v>0.4895833333333333</v>
      </c>
      <c r="U223" s="5" t="n">
        <v>0.53125</v>
      </c>
      <c r="V223" s="3">
        <f>IF(COUNT(T223:U223)=2,ROUND((U223-T223)*1440,0),0)</f>
        <v/>
      </c>
    </row>
    <row r="224">
      <c r="A224" s="2" t="inlineStr">
        <is>
          <t>19999999-0</t>
        </is>
      </c>
      <c r="B224" s="3" t="inlineStr">
        <is>
          <t>Activo</t>
        </is>
      </c>
      <c r="C224" s="3" t="inlineStr">
        <is>
          <t>ISABEL CASTRO (EJEMPLO)</t>
        </is>
      </c>
      <c r="D224" s="3" t="inlineStr">
        <is>
          <t>EXAMEN Y PROCEDIMIENTOS</t>
        </is>
      </c>
      <c r="E224" s="4" t="n">
        <v>46303</v>
      </c>
      <c r="F224" s="3" t="inlineStr">
        <is>
          <t>Jueves</t>
        </is>
      </c>
      <c r="G224" s="4" t="n">
        <v>46300</v>
      </c>
      <c r="H224" s="3" t="inlineStr">
        <is>
          <t>Mañana C/sábado</t>
        </is>
      </c>
      <c r="I224" s="3" t="inlineStr">
        <is>
          <t>TRABAJA</t>
        </is>
      </c>
      <c r="J224" s="5" t="n">
        <v>0.3333333333333333</v>
      </c>
      <c r="K224" s="5" t="n">
        <v>0.6666666666666666</v>
      </c>
      <c r="L224" s="5">
        <f>IF(COUNT(J224:K224)=2,K224-J224,0)</f>
        <v/>
      </c>
      <c r="M224" s="6">
        <f>L224*24</f>
        <v/>
      </c>
      <c r="N224" s="3" t="n">
        <v>60</v>
      </c>
      <c r="O224" s="6">
        <f>N224/60</f>
        <v/>
      </c>
      <c r="P224" s="6">
        <f>M224-O224</f>
        <v/>
      </c>
      <c r="Q224" s="6">
        <f>SUMIFS($P:$P,$A:$A,A224,$G:$G,G224)</f>
        <v/>
      </c>
      <c r="R224" s="5" t="n">
        <v>0.4270833333333333</v>
      </c>
      <c r="S224" s="5" t="n">
        <v>0.6354166666666666</v>
      </c>
      <c r="T224" s="5" t="n">
        <v>0.5104166666666666</v>
      </c>
      <c r="U224" s="5" t="n">
        <v>0.5520833333333334</v>
      </c>
      <c r="V224" s="3">
        <f>IF(COUNT(T224:U224)=2,ROUND((U224-T224)*1440,0),0)</f>
        <v/>
      </c>
    </row>
    <row r="225">
      <c r="A225" s="2" t="inlineStr">
        <is>
          <t>19999999-0</t>
        </is>
      </c>
      <c r="B225" s="3" t="inlineStr">
        <is>
          <t>Activo</t>
        </is>
      </c>
      <c r="C225" s="3" t="inlineStr">
        <is>
          <t>ISABEL CASTRO (EJEMPLO)</t>
        </is>
      </c>
      <c r="D225" s="3" t="inlineStr">
        <is>
          <t>EXAMEN Y PROCEDIMIENTOS</t>
        </is>
      </c>
      <c r="E225" s="4" t="n">
        <v>46304</v>
      </c>
      <c r="F225" s="3" t="inlineStr">
        <is>
          <t>Viernes</t>
        </is>
      </c>
      <c r="G225" s="4" t="n">
        <v>46300</v>
      </c>
      <c r="H225" s="3" t="inlineStr">
        <is>
          <t>Mañana C/sábado</t>
        </is>
      </c>
      <c r="I225" s="3" t="inlineStr">
        <is>
          <t>TRABAJA</t>
        </is>
      </c>
      <c r="J225" s="5" t="n">
        <v>0.3333333333333333</v>
      </c>
      <c r="K225" s="5" t="n">
        <v>0.6666666666666666</v>
      </c>
      <c r="L225" s="5">
        <f>IF(COUNT(J225:K225)=2,K225-J225,0)</f>
        <v/>
      </c>
      <c r="M225" s="6">
        <f>L225*24</f>
        <v/>
      </c>
      <c r="N225" s="3" t="n">
        <v>60</v>
      </c>
      <c r="O225" s="6">
        <f>N225/60</f>
        <v/>
      </c>
      <c r="P225" s="6">
        <f>M225-O225</f>
        <v/>
      </c>
      <c r="Q225" s="6">
        <f>SUMIFS($P:$P,$A:$A,A225,$G:$G,G225)</f>
        <v/>
      </c>
      <c r="R225" s="5" t="n">
        <v>0.4270833333333333</v>
      </c>
      <c r="S225" s="5" t="n">
        <v>0.6354166666666666</v>
      </c>
      <c r="T225" s="5" t="n">
        <v>0.4791666666666667</v>
      </c>
      <c r="U225" s="5" t="n">
        <v>0.5208333333333334</v>
      </c>
      <c r="V225" s="3">
        <f>IF(COUNT(T225:U225)=2,ROUND((U225-T225)*1440,0),0)</f>
        <v/>
      </c>
    </row>
    <row r="226">
      <c r="A226" s="2" t="inlineStr">
        <is>
          <t>19999999-0</t>
        </is>
      </c>
      <c r="B226" s="3" t="inlineStr">
        <is>
          <t>Activo</t>
        </is>
      </c>
      <c r="C226" s="3" t="inlineStr">
        <is>
          <t>ISABEL CASTRO (EJEMPLO)</t>
        </is>
      </c>
      <c r="D226" s="3" t="inlineStr">
        <is>
          <t>EXAMEN Y PROCEDIMIENTOS</t>
        </is>
      </c>
      <c r="E226" s="4" t="n">
        <v>46305</v>
      </c>
      <c r="F226" s="3" t="inlineStr">
        <is>
          <t>Sábado</t>
        </is>
      </c>
      <c r="G226" s="4" t="n">
        <v>46300</v>
      </c>
      <c r="H226" s="3" t="inlineStr">
        <is>
          <t>Mañana C/sábado</t>
        </is>
      </c>
      <c r="I226" s="3" t="inlineStr">
        <is>
          <t>TRABAJA</t>
        </is>
      </c>
      <c r="J226" s="5" t="n">
        <v>0.3333333333333333</v>
      </c>
      <c r="K226" s="5" t="n">
        <v>0.5833333333333334</v>
      </c>
      <c r="L226" s="5">
        <f>IF(COUNT(J226:K226)=2,K226-J226,0)</f>
        <v/>
      </c>
      <c r="M226" s="6">
        <f>L226*24</f>
        <v/>
      </c>
      <c r="N226" s="3" t="n">
        <v>30</v>
      </c>
      <c r="O226" s="6">
        <f>N226/60</f>
        <v/>
      </c>
      <c r="P226" s="6">
        <f>M226-O226</f>
        <v/>
      </c>
      <c r="Q226" s="6">
        <f>SUMIFS($P:$P,$A:$A,A226,$G:$G,G226)</f>
        <v/>
      </c>
      <c r="R226" s="5" t="n"/>
      <c r="S226" s="5" t="n"/>
      <c r="T226" s="5" t="n">
        <v>0.4375</v>
      </c>
      <c r="U226" s="5" t="n">
        <v>0.4583333333333333</v>
      </c>
      <c r="V226" s="3">
        <f>IF(COUNT(T226:U226)=2,ROUND((U226-T226)*1440,0),0)</f>
        <v/>
      </c>
    </row>
    <row r="227">
      <c r="A227" s="2" t="inlineStr">
        <is>
          <t>19999999-0</t>
        </is>
      </c>
      <c r="B227" s="3" t="inlineStr">
        <is>
          <t>Activo</t>
        </is>
      </c>
      <c r="C227" s="3" t="inlineStr">
        <is>
          <t>ISABEL CASTRO (EJEMPLO)</t>
        </is>
      </c>
      <c r="D227" s="3" t="inlineStr">
        <is>
          <t>EXAMEN Y PROCEDIMIENTOS</t>
        </is>
      </c>
      <c r="E227" s="4" t="n">
        <v>46307</v>
      </c>
      <c r="F227" s="3" t="inlineStr">
        <is>
          <t>Lunes</t>
        </is>
      </c>
      <c r="G227" s="4" t="n">
        <v>46307</v>
      </c>
      <c r="H227" s="3" t="inlineStr">
        <is>
          <t>Tarde S/sábado</t>
        </is>
      </c>
      <c r="I227" s="3" t="inlineStr">
        <is>
          <t>FERIADO</t>
        </is>
      </c>
      <c r="J227" s="5" t="n"/>
      <c r="K227" s="5" t="n"/>
      <c r="L227" s="5">
        <f>IF(COUNT(J227:K227)=2,K227-J227,0)</f>
        <v/>
      </c>
      <c r="M227" s="6">
        <f>L227*24</f>
        <v/>
      </c>
      <c r="N227" s="3" t="n">
        <v>0</v>
      </c>
      <c r="O227" s="6">
        <f>N227/60</f>
        <v/>
      </c>
      <c r="P227" s="6">
        <f>M227-O227</f>
        <v/>
      </c>
      <c r="Q227" s="6">
        <f>SUMIFS($P:$P,$A:$A,A227,$G:$G,G227)</f>
        <v/>
      </c>
      <c r="R227" s="5" t="n"/>
      <c r="S227" s="5" t="n"/>
      <c r="T227" s="5" t="n"/>
      <c r="U227" s="5" t="n"/>
      <c r="V227" s="3">
        <f>IF(COUNT(T227:U227)=2,ROUND((U227-T227)*1440,0),0)</f>
        <v/>
      </c>
    </row>
    <row r="228">
      <c r="A228" s="2" t="inlineStr">
        <is>
          <t>19999999-0</t>
        </is>
      </c>
      <c r="B228" s="3" t="inlineStr">
        <is>
          <t>Activo</t>
        </is>
      </c>
      <c r="C228" s="3" t="inlineStr">
        <is>
          <t>ISABEL CASTRO (EJEMPLO)</t>
        </is>
      </c>
      <c r="D228" s="3" t="inlineStr">
        <is>
          <t>EXAMEN Y PROCEDIMIENTOS</t>
        </is>
      </c>
      <c r="E228" s="4" t="n">
        <v>46308</v>
      </c>
      <c r="F228" s="3" t="inlineStr">
        <is>
          <t>Martes</t>
        </is>
      </c>
      <c r="G228" s="4" t="n">
        <v>46307</v>
      </c>
      <c r="H228" s="3" t="inlineStr">
        <is>
          <t>Tarde S/sábado</t>
        </is>
      </c>
      <c r="I228" s="3" t="inlineStr">
        <is>
          <t>TRABAJA</t>
        </is>
      </c>
      <c r="J228" s="5" t="n">
        <v>0.4375</v>
      </c>
      <c r="K228" s="5" t="n">
        <v>0.8333333333333334</v>
      </c>
      <c r="L228" s="5">
        <f>IF(COUNT(J228:K228)=2,K228-J228,0)</f>
        <v/>
      </c>
      <c r="M228" s="6">
        <f>L228*24</f>
        <v/>
      </c>
      <c r="N228" s="3" t="n">
        <v>60</v>
      </c>
      <c r="O228" s="6">
        <f>N228/60</f>
        <v/>
      </c>
      <c r="P228" s="6">
        <f>M228-O228</f>
        <v/>
      </c>
      <c r="Q228" s="6">
        <f>SUMIFS($P:$P,$A:$A,A228,$G:$G,G228)</f>
        <v/>
      </c>
      <c r="R228" s="5" t="n">
        <v>0.5208333333333334</v>
      </c>
      <c r="S228" s="5" t="n">
        <v>0.7395833333333334</v>
      </c>
      <c r="T228" s="5" t="n">
        <v>0.6145833333333334</v>
      </c>
      <c r="U228" s="5" t="n">
        <v>0.65625</v>
      </c>
      <c r="V228" s="3">
        <f>IF(COUNT(T228:U228)=2,ROUND((U228-T228)*1440,0),0)</f>
        <v/>
      </c>
    </row>
    <row r="229">
      <c r="A229" s="2" t="inlineStr">
        <is>
          <t>19999999-0</t>
        </is>
      </c>
      <c r="B229" s="3" t="inlineStr">
        <is>
          <t>Activo</t>
        </is>
      </c>
      <c r="C229" s="3" t="inlineStr">
        <is>
          <t>ISABEL CASTRO (EJEMPLO)</t>
        </is>
      </c>
      <c r="D229" s="3" t="inlineStr">
        <is>
          <t>EXAMEN Y PROCEDIMIENTOS</t>
        </is>
      </c>
      <c r="E229" s="4" t="n">
        <v>46309</v>
      </c>
      <c r="F229" s="3" t="inlineStr">
        <is>
          <t>Miércoles</t>
        </is>
      </c>
      <c r="G229" s="4" t="n">
        <v>46307</v>
      </c>
      <c r="H229" s="3" t="inlineStr">
        <is>
          <t>Tarde S/sábado</t>
        </is>
      </c>
      <c r="I229" s="3" t="inlineStr">
        <is>
          <t>TRABAJA</t>
        </is>
      </c>
      <c r="J229" s="5" t="n">
        <v>0.4375</v>
      </c>
      <c r="K229" s="5" t="n">
        <v>0.8333333333333334</v>
      </c>
      <c r="L229" s="5">
        <f>IF(COUNT(J229:K229)=2,K229-J229,0)</f>
        <v/>
      </c>
      <c r="M229" s="6">
        <f>L229*24</f>
        <v/>
      </c>
      <c r="N229" s="3" t="n">
        <v>60</v>
      </c>
      <c r="O229" s="6">
        <f>N229/60</f>
        <v/>
      </c>
      <c r="P229" s="6">
        <f>M229-O229</f>
        <v/>
      </c>
      <c r="Q229" s="6">
        <f>SUMIFS($P:$P,$A:$A,A229,$G:$G,G229)</f>
        <v/>
      </c>
      <c r="R229" s="5" t="n">
        <v>0.53125</v>
      </c>
      <c r="S229" s="5" t="n">
        <v>0.8020833333333334</v>
      </c>
      <c r="T229" s="5" t="n">
        <v>0.6666666666666666</v>
      </c>
      <c r="U229" s="5" t="n">
        <v>0.7083333333333334</v>
      </c>
      <c r="V229" s="3">
        <f>IF(COUNT(T229:U229)=2,ROUND((U229-T229)*1440,0),0)</f>
        <v/>
      </c>
    </row>
    <row r="230">
      <c r="A230" s="2" t="inlineStr">
        <is>
          <t>19999999-0</t>
        </is>
      </c>
      <c r="B230" s="3" t="inlineStr">
        <is>
          <t>Activo</t>
        </is>
      </c>
      <c r="C230" s="3" t="inlineStr">
        <is>
          <t>ISABEL CASTRO (EJEMPLO)</t>
        </is>
      </c>
      <c r="D230" s="3" t="inlineStr">
        <is>
          <t>EXAMEN Y PROCEDIMIENTOS</t>
        </is>
      </c>
      <c r="E230" s="4" t="n">
        <v>46310</v>
      </c>
      <c r="F230" s="3" t="inlineStr">
        <is>
          <t>Jueves</t>
        </is>
      </c>
      <c r="G230" s="4" t="n">
        <v>46307</v>
      </c>
      <c r="H230" s="3" t="inlineStr">
        <is>
          <t>Tarde S/sábado</t>
        </is>
      </c>
      <c r="I230" s="3" t="inlineStr">
        <is>
          <t>TRABAJA</t>
        </is>
      </c>
      <c r="J230" s="5" t="n">
        <v>0.4375</v>
      </c>
      <c r="K230" s="5" t="n">
        <v>0.8333333333333334</v>
      </c>
      <c r="L230" s="5">
        <f>IF(COUNT(J230:K230)=2,K230-J230,0)</f>
        <v/>
      </c>
      <c r="M230" s="6">
        <f>L230*24</f>
        <v/>
      </c>
      <c r="N230" s="3" t="n">
        <v>60</v>
      </c>
      <c r="O230" s="6">
        <f>N230/60</f>
        <v/>
      </c>
      <c r="P230" s="6">
        <f>M230-O230</f>
        <v/>
      </c>
      <c r="Q230" s="6">
        <f>SUMIFS($P:$P,$A:$A,A230,$G:$G,G230)</f>
        <v/>
      </c>
      <c r="R230" s="5" t="n">
        <v>0.5625</v>
      </c>
      <c r="S230" s="5" t="n">
        <v>0.8020833333333334</v>
      </c>
      <c r="T230" s="5" t="n">
        <v>0.6770833333333334</v>
      </c>
      <c r="U230" s="5" t="n">
        <v>0.71875</v>
      </c>
      <c r="V230" s="3">
        <f>IF(COUNT(T230:U230)=2,ROUND((U230-T230)*1440,0),0)</f>
        <v/>
      </c>
    </row>
    <row r="231">
      <c r="A231" s="2" t="inlineStr">
        <is>
          <t>19999999-0</t>
        </is>
      </c>
      <c r="B231" s="3" t="inlineStr">
        <is>
          <t>Activo</t>
        </is>
      </c>
      <c r="C231" s="3" t="inlineStr">
        <is>
          <t>ISABEL CASTRO (EJEMPLO)</t>
        </is>
      </c>
      <c r="D231" s="3" t="inlineStr">
        <is>
          <t>EXAMEN Y PROCEDIMIENTOS</t>
        </is>
      </c>
      <c r="E231" s="4" t="n">
        <v>46311</v>
      </c>
      <c r="F231" s="3" t="inlineStr">
        <is>
          <t>Viernes</t>
        </is>
      </c>
      <c r="G231" s="4" t="n">
        <v>46307</v>
      </c>
      <c r="H231" s="3" t="inlineStr">
        <is>
          <t>Tarde S/sábado</t>
        </is>
      </c>
      <c r="I231" s="3" t="inlineStr">
        <is>
          <t>TRABAJA</t>
        </is>
      </c>
      <c r="J231" s="5" t="n">
        <v>0.4583333333333333</v>
      </c>
      <c r="K231" s="5" t="n">
        <v>0.8333333333333334</v>
      </c>
      <c r="L231" s="5">
        <f>IF(COUNT(J231:K231)=2,K231-J231,0)</f>
        <v/>
      </c>
      <c r="M231" s="6">
        <f>L231*24</f>
        <v/>
      </c>
      <c r="N231" s="3" t="n">
        <v>60</v>
      </c>
      <c r="O231" s="6">
        <f>N231/60</f>
        <v/>
      </c>
      <c r="P231" s="6">
        <f>M231-O231</f>
        <v/>
      </c>
      <c r="Q231" s="6">
        <f>SUMIFS($P:$P,$A:$A,A231,$G:$G,G231)</f>
        <v/>
      </c>
      <c r="R231" s="5" t="n">
        <v>0.5520833333333334</v>
      </c>
      <c r="S231" s="5" t="n">
        <v>0.7604166666666666</v>
      </c>
      <c r="T231" s="5" t="n">
        <v>0.6354166666666666</v>
      </c>
      <c r="U231" s="5" t="n">
        <v>0.6770833333333334</v>
      </c>
      <c r="V231" s="3">
        <f>IF(COUNT(T231:U231)=2,ROUND((U231-T231)*1440,0),0)</f>
        <v/>
      </c>
    </row>
    <row r="232">
      <c r="A232" s="2" t="inlineStr">
        <is>
          <t>19999999-0</t>
        </is>
      </c>
      <c r="B232" s="3" t="inlineStr">
        <is>
          <t>Activo</t>
        </is>
      </c>
      <c r="C232" s="3" t="inlineStr">
        <is>
          <t>ISABEL CASTRO (EJEMPLO)</t>
        </is>
      </c>
      <c r="D232" s="3" t="inlineStr">
        <is>
          <t>EXAMEN Y PROCEDIMIENTOS</t>
        </is>
      </c>
      <c r="E232" s="4" t="n">
        <v>46312</v>
      </c>
      <c r="F232" s="3" t="inlineStr">
        <is>
          <t>Sábado</t>
        </is>
      </c>
      <c r="G232" s="4" t="n">
        <v>46307</v>
      </c>
      <c r="H232" s="3" t="inlineStr">
        <is>
          <t>Tarde S/sábado</t>
        </is>
      </c>
      <c r="I232" s="3" t="inlineStr">
        <is>
          <t>LIBRE</t>
        </is>
      </c>
      <c r="J232" s="5" t="n"/>
      <c r="K232" s="5" t="n"/>
      <c r="L232" s="5">
        <f>IF(COUNT(J232:K232)=2,K232-J232,0)</f>
        <v/>
      </c>
      <c r="M232" s="6">
        <f>L232*24</f>
        <v/>
      </c>
      <c r="N232" s="3" t="n">
        <v>0</v>
      </c>
      <c r="O232" s="6">
        <f>N232/60</f>
        <v/>
      </c>
      <c r="P232" s="6">
        <f>M232-O232</f>
        <v/>
      </c>
      <c r="Q232" s="6">
        <f>SUMIFS($P:$P,$A:$A,A232,$G:$G,G232)</f>
        <v/>
      </c>
      <c r="R232" s="5" t="n"/>
      <c r="S232" s="5" t="n"/>
      <c r="T232" s="5" t="n"/>
      <c r="U232" s="5" t="n"/>
      <c r="V232" s="3">
        <f>IF(COUNT(T232:U232)=2,ROUND((U232-T232)*1440,0),0)</f>
        <v/>
      </c>
    </row>
    <row r="233">
      <c r="A233" s="2" t="inlineStr">
        <is>
          <t>19999999-0</t>
        </is>
      </c>
      <c r="B233" s="3" t="inlineStr">
        <is>
          <t>Activo</t>
        </is>
      </c>
      <c r="C233" s="3" t="inlineStr">
        <is>
          <t>ISABEL CASTRO (EJEMPLO)</t>
        </is>
      </c>
      <c r="D233" s="3" t="inlineStr">
        <is>
          <t>EXAMEN Y PROCEDIMIENTOS</t>
        </is>
      </c>
      <c r="E233" s="4" t="n">
        <v>46314</v>
      </c>
      <c r="F233" s="3" t="inlineStr">
        <is>
          <t>Lunes</t>
        </is>
      </c>
      <c r="G233" s="4" t="n">
        <v>46314</v>
      </c>
      <c r="H233" s="3" t="inlineStr">
        <is>
          <t>Intermedio S/sábado</t>
        </is>
      </c>
      <c r="I233" s="3" t="inlineStr">
        <is>
          <t>TRABAJA</t>
        </is>
      </c>
      <c r="J233" s="5" t="n">
        <v>0.375</v>
      </c>
      <c r="K233" s="5" t="n">
        <v>0.7916666666666666</v>
      </c>
      <c r="L233" s="5">
        <f>IF(COUNT(J233:K233)=2,K233-J233,0)</f>
        <v/>
      </c>
      <c r="M233" s="6">
        <f>L233*24</f>
        <v/>
      </c>
      <c r="N233" s="3" t="n">
        <v>60</v>
      </c>
      <c r="O233" s="6">
        <f>N233/60</f>
        <v/>
      </c>
      <c r="P233" s="6">
        <f>M233-O233</f>
        <v/>
      </c>
      <c r="Q233" s="6">
        <f>SUMIFS($P:$P,$A:$A,A233,$G:$G,G233)</f>
        <v/>
      </c>
      <c r="R233" s="5" t="n">
        <v>0.46875</v>
      </c>
      <c r="S233" s="5" t="n">
        <v>0.71875</v>
      </c>
      <c r="T233" s="5" t="n">
        <v>0.5833333333333334</v>
      </c>
      <c r="U233" s="5" t="n">
        <v>0.625</v>
      </c>
      <c r="V233" s="3">
        <f>IF(COUNT(T233:U233)=2,ROUND((U233-T233)*1440,0),0)</f>
        <v/>
      </c>
    </row>
    <row r="234">
      <c r="A234" s="2" t="inlineStr">
        <is>
          <t>19999999-0</t>
        </is>
      </c>
      <c r="B234" s="3" t="inlineStr">
        <is>
          <t>Activo</t>
        </is>
      </c>
      <c r="C234" s="3" t="inlineStr">
        <is>
          <t>ISABEL CASTRO (EJEMPLO)</t>
        </is>
      </c>
      <c r="D234" s="3" t="inlineStr">
        <is>
          <t>EXAMEN Y PROCEDIMIENTOS</t>
        </is>
      </c>
      <c r="E234" s="4" t="n">
        <v>46315</v>
      </c>
      <c r="F234" s="3" t="inlineStr">
        <is>
          <t>Martes</t>
        </is>
      </c>
      <c r="G234" s="4" t="n">
        <v>46314</v>
      </c>
      <c r="H234" s="3" t="inlineStr">
        <is>
          <t>Intermedio S/sábado</t>
        </is>
      </c>
      <c r="I234" s="3" t="inlineStr">
        <is>
          <t>TRABAJA</t>
        </is>
      </c>
      <c r="J234" s="5" t="n">
        <v>0.375</v>
      </c>
      <c r="K234" s="5" t="n">
        <v>0.7916666666666666</v>
      </c>
      <c r="L234" s="5">
        <f>IF(COUNT(J234:K234)=2,K234-J234,0)</f>
        <v/>
      </c>
      <c r="M234" s="6">
        <f>L234*24</f>
        <v/>
      </c>
      <c r="N234" s="3" t="n">
        <v>60</v>
      </c>
      <c r="O234" s="6">
        <f>N234/60</f>
        <v/>
      </c>
      <c r="P234" s="6">
        <f>M234-O234</f>
        <v/>
      </c>
      <c r="Q234" s="6">
        <f>SUMIFS($P:$P,$A:$A,A234,$G:$G,G234)</f>
        <v/>
      </c>
      <c r="R234" s="5" t="n">
        <v>0.46875</v>
      </c>
      <c r="S234" s="5" t="n">
        <v>0.71875</v>
      </c>
      <c r="T234" s="5" t="n">
        <v>0.5833333333333334</v>
      </c>
      <c r="U234" s="5" t="n">
        <v>0.625</v>
      </c>
      <c r="V234" s="3">
        <f>IF(COUNT(T234:U234)=2,ROUND((U234-T234)*1440,0),0)</f>
        <v/>
      </c>
    </row>
    <row r="235">
      <c r="A235" s="2" t="inlineStr">
        <is>
          <t>19999999-0</t>
        </is>
      </c>
      <c r="B235" s="3" t="inlineStr">
        <is>
          <t>Activo</t>
        </is>
      </c>
      <c r="C235" s="3" t="inlineStr">
        <is>
          <t>ISABEL CASTRO (EJEMPLO)</t>
        </is>
      </c>
      <c r="D235" s="3" t="inlineStr">
        <is>
          <t>EXAMEN Y PROCEDIMIENTOS</t>
        </is>
      </c>
      <c r="E235" s="4" t="n">
        <v>46316</v>
      </c>
      <c r="F235" s="3" t="inlineStr">
        <is>
          <t>Miércoles</t>
        </is>
      </c>
      <c r="G235" s="4" t="n">
        <v>46314</v>
      </c>
      <c r="H235" s="3" t="inlineStr">
        <is>
          <t>Intermedio S/sábado</t>
        </is>
      </c>
      <c r="I235" s="3" t="inlineStr">
        <is>
          <t>TRABAJA</t>
        </is>
      </c>
      <c r="J235" s="5" t="n">
        <v>0.375</v>
      </c>
      <c r="K235" s="5" t="n">
        <v>0.75</v>
      </c>
      <c r="L235" s="5">
        <f>IF(COUNT(J235:K235)=2,K235-J235,0)</f>
        <v/>
      </c>
      <c r="M235" s="6">
        <f>L235*24</f>
        <v/>
      </c>
      <c r="N235" s="3" t="n">
        <v>60</v>
      </c>
      <c r="O235" s="6">
        <f>N235/60</f>
        <v/>
      </c>
      <c r="P235" s="6">
        <f>M235-O235</f>
        <v/>
      </c>
      <c r="Q235" s="6">
        <f>SUMIFS($P:$P,$A:$A,A235,$G:$G,G235)</f>
        <v/>
      </c>
      <c r="R235" s="5" t="n">
        <v>0.46875</v>
      </c>
      <c r="S235" s="5" t="n">
        <v>0.6458333333333334</v>
      </c>
      <c r="T235" s="5" t="n">
        <v>0.5208333333333334</v>
      </c>
      <c r="U235" s="5" t="n">
        <v>0.5625</v>
      </c>
      <c r="V235" s="3">
        <f>IF(COUNT(T235:U235)=2,ROUND((U235-T235)*1440,0),0)</f>
        <v/>
      </c>
    </row>
    <row r="236">
      <c r="A236" s="2" t="inlineStr">
        <is>
          <t>19999999-0</t>
        </is>
      </c>
      <c r="B236" s="3" t="inlineStr">
        <is>
          <t>Activo</t>
        </is>
      </c>
      <c r="C236" s="3" t="inlineStr">
        <is>
          <t>ISABEL CASTRO (EJEMPLO)</t>
        </is>
      </c>
      <c r="D236" s="3" t="inlineStr">
        <is>
          <t>EXAMEN Y PROCEDIMIENTOS</t>
        </is>
      </c>
      <c r="E236" s="4" t="n">
        <v>46317</v>
      </c>
      <c r="F236" s="3" t="inlineStr">
        <is>
          <t>Jueves</t>
        </is>
      </c>
      <c r="G236" s="4" t="n">
        <v>46314</v>
      </c>
      <c r="H236" s="3" t="inlineStr">
        <is>
          <t>Intermedio S/sábado</t>
        </is>
      </c>
      <c r="I236" s="3" t="inlineStr">
        <is>
          <t>TRABAJA</t>
        </is>
      </c>
      <c r="J236" s="5" t="n">
        <v>0.375</v>
      </c>
      <c r="K236" s="5" t="n">
        <v>0.75</v>
      </c>
      <c r="L236" s="5">
        <f>IF(COUNT(J236:K236)=2,K236-J236,0)</f>
        <v/>
      </c>
      <c r="M236" s="6">
        <f>L236*24</f>
        <v/>
      </c>
      <c r="N236" s="3" t="n">
        <v>60</v>
      </c>
      <c r="O236" s="6">
        <f>N236/60</f>
        <v/>
      </c>
      <c r="P236" s="6">
        <f>M236-O236</f>
        <v/>
      </c>
      <c r="Q236" s="6">
        <f>SUMIFS($P:$P,$A:$A,A236,$G:$G,G236)</f>
        <v/>
      </c>
      <c r="R236" s="5" t="n">
        <v>0.4791666666666667</v>
      </c>
      <c r="S236" s="5" t="n">
        <v>0.71875</v>
      </c>
      <c r="T236" s="5" t="n">
        <v>0.59375</v>
      </c>
      <c r="U236" s="5" t="n">
        <v>0.6354166666666666</v>
      </c>
      <c r="V236" s="3">
        <f>IF(COUNT(T236:U236)=2,ROUND((U236-T236)*1440,0),0)</f>
        <v/>
      </c>
    </row>
    <row r="237">
      <c r="A237" s="2" t="inlineStr">
        <is>
          <t>19999999-0</t>
        </is>
      </c>
      <c r="B237" s="3" t="inlineStr">
        <is>
          <t>Activo</t>
        </is>
      </c>
      <c r="C237" s="3" t="inlineStr">
        <is>
          <t>ISABEL CASTRO (EJEMPLO)</t>
        </is>
      </c>
      <c r="D237" s="3" t="inlineStr">
        <is>
          <t>EXAMEN Y PROCEDIMIENTOS</t>
        </is>
      </c>
      <c r="E237" s="4" t="n">
        <v>46318</v>
      </c>
      <c r="F237" s="3" t="inlineStr">
        <is>
          <t>Viernes</t>
        </is>
      </c>
      <c r="G237" s="4" t="n">
        <v>46314</v>
      </c>
      <c r="H237" s="3" t="inlineStr">
        <is>
          <t>Intermedio S/sábado</t>
        </is>
      </c>
      <c r="I237" s="3" t="inlineStr">
        <is>
          <t>TRABAJA</t>
        </is>
      </c>
      <c r="J237" s="5" t="n">
        <v>0.375</v>
      </c>
      <c r="K237" s="5" t="n">
        <v>0.75</v>
      </c>
      <c r="L237" s="5">
        <f>IF(COUNT(J237:K237)=2,K237-J237,0)</f>
        <v/>
      </c>
      <c r="M237" s="6">
        <f>L237*24</f>
        <v/>
      </c>
      <c r="N237" s="3" t="n">
        <v>60</v>
      </c>
      <c r="O237" s="6">
        <f>N237/60</f>
        <v/>
      </c>
      <c r="P237" s="6">
        <f>M237-O237</f>
        <v/>
      </c>
      <c r="Q237" s="6">
        <f>SUMIFS($P:$P,$A:$A,A237,$G:$G,G237)</f>
        <v/>
      </c>
      <c r="R237" s="5" t="n">
        <v>0.4583333333333333</v>
      </c>
      <c r="S237" s="5" t="n">
        <v>0.6458333333333334</v>
      </c>
      <c r="T237" s="5" t="n">
        <v>0.5104166666666666</v>
      </c>
      <c r="U237" s="5" t="n">
        <v>0.5520833333333334</v>
      </c>
      <c r="V237" s="3">
        <f>IF(COUNT(T237:U237)=2,ROUND((U237-T237)*1440,0),0)</f>
        <v/>
      </c>
    </row>
    <row r="238">
      <c r="A238" s="2" t="inlineStr">
        <is>
          <t>19999999-0</t>
        </is>
      </c>
      <c r="B238" s="3" t="inlineStr">
        <is>
          <t>Activo</t>
        </is>
      </c>
      <c r="C238" s="3" t="inlineStr">
        <is>
          <t>ISABEL CASTRO (EJEMPLO)</t>
        </is>
      </c>
      <c r="D238" s="3" t="inlineStr">
        <is>
          <t>EXAMEN Y PROCEDIMIENTOS</t>
        </is>
      </c>
      <c r="E238" s="4" t="n">
        <v>46319</v>
      </c>
      <c r="F238" s="3" t="inlineStr">
        <is>
          <t>Sábado</t>
        </is>
      </c>
      <c r="G238" s="4" t="n">
        <v>46314</v>
      </c>
      <c r="H238" s="3" t="inlineStr">
        <is>
          <t>Intermedio S/sábado</t>
        </is>
      </c>
      <c r="I238" s="3" t="inlineStr">
        <is>
          <t>LIBRE</t>
        </is>
      </c>
      <c r="J238" s="5" t="n"/>
      <c r="K238" s="5" t="n"/>
      <c r="L238" s="5">
        <f>IF(COUNT(J238:K238)=2,K238-J238,0)</f>
        <v/>
      </c>
      <c r="M238" s="6">
        <f>L238*24</f>
        <v/>
      </c>
      <c r="N238" s="3" t="n">
        <v>0</v>
      </c>
      <c r="O238" s="6">
        <f>N238/60</f>
        <v/>
      </c>
      <c r="P238" s="6">
        <f>M238-O238</f>
        <v/>
      </c>
      <c r="Q238" s="6">
        <f>SUMIFS($P:$P,$A:$A,A238,$G:$G,G238)</f>
        <v/>
      </c>
      <c r="R238" s="5" t="n"/>
      <c r="S238" s="5" t="n"/>
      <c r="T238" s="5" t="n"/>
      <c r="U238" s="5" t="n"/>
      <c r="V238" s="3">
        <f>IF(COUNT(T238:U238)=2,ROUND((U238-T238)*1440,0),0)</f>
        <v/>
      </c>
    </row>
    <row r="239">
      <c r="A239" s="2" t="inlineStr">
        <is>
          <t>19999999-0</t>
        </is>
      </c>
      <c r="B239" s="3" t="inlineStr">
        <is>
          <t>Activo</t>
        </is>
      </c>
      <c r="C239" s="3" t="inlineStr">
        <is>
          <t>ISABEL CASTRO (EJEMPLO)</t>
        </is>
      </c>
      <c r="D239" s="3" t="inlineStr">
        <is>
          <t>EXAMEN Y PROCEDIMIENTOS</t>
        </is>
      </c>
      <c r="E239" s="4" t="n">
        <v>46321</v>
      </c>
      <c r="F239" s="3" t="inlineStr">
        <is>
          <t>Lunes</t>
        </is>
      </c>
      <c r="G239" s="4" t="n">
        <v>46321</v>
      </c>
      <c r="H239" s="3" t="inlineStr">
        <is>
          <t>Mañana C/sábado</t>
        </is>
      </c>
      <c r="I239" s="3" t="inlineStr">
        <is>
          <t>TRABAJA</t>
        </is>
      </c>
      <c r="J239" s="5" t="n">
        <v>0.3333333333333333</v>
      </c>
      <c r="K239" s="5" t="n">
        <v>0.6875</v>
      </c>
      <c r="L239" s="5">
        <f>IF(COUNT(J239:K239)=2,K239-J239,0)</f>
        <v/>
      </c>
      <c r="M239" s="6">
        <f>L239*24</f>
        <v/>
      </c>
      <c r="N239" s="3" t="n">
        <v>60</v>
      </c>
      <c r="O239" s="6">
        <f>N239/60</f>
        <v/>
      </c>
      <c r="P239" s="6">
        <f>M239-O239</f>
        <v/>
      </c>
      <c r="Q239" s="6">
        <f>SUMIFS($P:$P,$A:$A,A239,$G:$G,G239)</f>
        <v/>
      </c>
      <c r="R239" s="5" t="n">
        <v>0.4375</v>
      </c>
      <c r="S239" s="5" t="n">
        <v>0.65625</v>
      </c>
      <c r="T239" s="5" t="n">
        <v>0.53125</v>
      </c>
      <c r="U239" s="5" t="n">
        <v>0.5729166666666666</v>
      </c>
      <c r="V239" s="3">
        <f>IF(COUNT(T239:U239)=2,ROUND((U239-T239)*1440,0),0)</f>
        <v/>
      </c>
    </row>
    <row r="240">
      <c r="A240" s="2" t="inlineStr">
        <is>
          <t>19999999-0</t>
        </is>
      </c>
      <c r="B240" s="3" t="inlineStr">
        <is>
          <t>Activo</t>
        </is>
      </c>
      <c r="C240" s="3" t="inlineStr">
        <is>
          <t>ISABEL CASTRO (EJEMPLO)</t>
        </is>
      </c>
      <c r="D240" s="3" t="inlineStr">
        <is>
          <t>EXAMEN Y PROCEDIMIENTOS</t>
        </is>
      </c>
      <c r="E240" s="4" t="n">
        <v>46322</v>
      </c>
      <c r="F240" s="3" t="inlineStr">
        <is>
          <t>Martes</t>
        </is>
      </c>
      <c r="G240" s="4" t="n">
        <v>46321</v>
      </c>
      <c r="H240" s="3" t="inlineStr">
        <is>
          <t>Mañana C/sábado</t>
        </is>
      </c>
      <c r="I240" s="3" t="inlineStr">
        <is>
          <t>TRABAJA</t>
        </is>
      </c>
      <c r="J240" s="5" t="n">
        <v>0.3333333333333333</v>
      </c>
      <c r="K240" s="5" t="n">
        <v>0.6875</v>
      </c>
      <c r="L240" s="5">
        <f>IF(COUNT(J240:K240)=2,K240-J240,0)</f>
        <v/>
      </c>
      <c r="M240" s="6">
        <f>L240*24</f>
        <v/>
      </c>
      <c r="N240" s="3" t="n">
        <v>60</v>
      </c>
      <c r="O240" s="6">
        <f>N240/60</f>
        <v/>
      </c>
      <c r="P240" s="6">
        <f>M240-O240</f>
        <v/>
      </c>
      <c r="Q240" s="6">
        <f>SUMIFS($P:$P,$A:$A,A240,$G:$G,G240)</f>
        <v/>
      </c>
      <c r="R240" s="5" t="n">
        <v>0.4375</v>
      </c>
      <c r="S240" s="5" t="n">
        <v>0.65625</v>
      </c>
      <c r="T240" s="5" t="n">
        <v>0.53125</v>
      </c>
      <c r="U240" s="5" t="n">
        <v>0.5729166666666666</v>
      </c>
      <c r="V240" s="3">
        <f>IF(COUNT(T240:U240)=2,ROUND((U240-T240)*1440,0),0)</f>
        <v/>
      </c>
    </row>
    <row r="241">
      <c r="A241" s="2" t="inlineStr">
        <is>
          <t>19999999-0</t>
        </is>
      </c>
      <c r="B241" s="3" t="inlineStr">
        <is>
          <t>Activo</t>
        </is>
      </c>
      <c r="C241" s="3" t="inlineStr">
        <is>
          <t>ISABEL CASTRO (EJEMPLO)</t>
        </is>
      </c>
      <c r="D241" s="3" t="inlineStr">
        <is>
          <t>EXAMEN Y PROCEDIMIENTOS</t>
        </is>
      </c>
      <c r="E241" s="4" t="n">
        <v>46323</v>
      </c>
      <c r="F241" s="3" t="inlineStr">
        <is>
          <t>Miércoles</t>
        </is>
      </c>
      <c r="G241" s="4" t="n">
        <v>46321</v>
      </c>
      <c r="H241" s="3" t="inlineStr">
        <is>
          <t>Mañana C/sábado</t>
        </is>
      </c>
      <c r="I241" s="3" t="inlineStr">
        <is>
          <t>TRABAJA</t>
        </is>
      </c>
      <c r="J241" s="5" t="n">
        <v>0.3333333333333333</v>
      </c>
      <c r="K241" s="5" t="n">
        <v>0.6875</v>
      </c>
      <c r="L241" s="5">
        <f>IF(COUNT(J241:K241)=2,K241-J241,0)</f>
        <v/>
      </c>
      <c r="M241" s="6">
        <f>L241*24</f>
        <v/>
      </c>
      <c r="N241" s="3" t="n">
        <v>60</v>
      </c>
      <c r="O241" s="6">
        <f>N241/60</f>
        <v/>
      </c>
      <c r="P241" s="6">
        <f>M241-O241</f>
        <v/>
      </c>
      <c r="Q241" s="6">
        <f>SUMIFS($P:$P,$A:$A,A241,$G:$G,G241)</f>
        <v/>
      </c>
      <c r="R241" s="5" t="n">
        <v>0.4375</v>
      </c>
      <c r="S241" s="5" t="n">
        <v>0.65625</v>
      </c>
      <c r="T241" s="5" t="n">
        <v>0.53125</v>
      </c>
      <c r="U241" s="5" t="n">
        <v>0.5729166666666666</v>
      </c>
      <c r="V241" s="3">
        <f>IF(COUNT(T241:U241)=2,ROUND((U241-T241)*1440,0),0)</f>
        <v/>
      </c>
    </row>
    <row r="242">
      <c r="A242" s="2" t="inlineStr">
        <is>
          <t>19999999-0</t>
        </is>
      </c>
      <c r="B242" s="3" t="inlineStr">
        <is>
          <t>Activo</t>
        </is>
      </c>
      <c r="C242" s="3" t="inlineStr">
        <is>
          <t>ISABEL CASTRO (EJEMPLO)</t>
        </is>
      </c>
      <c r="D242" s="3" t="inlineStr">
        <is>
          <t>EXAMEN Y PROCEDIMIENTOS</t>
        </is>
      </c>
      <c r="E242" s="4" t="n">
        <v>46324</v>
      </c>
      <c r="F242" s="3" t="inlineStr">
        <is>
          <t>Jueves</t>
        </is>
      </c>
      <c r="G242" s="4" t="n">
        <v>46321</v>
      </c>
      <c r="H242" s="3" t="inlineStr">
        <is>
          <t>Mañana C/sábado</t>
        </is>
      </c>
      <c r="I242" s="3" t="inlineStr">
        <is>
          <t>TRABAJA</t>
        </is>
      </c>
      <c r="J242" s="5" t="n">
        <v>0.3333333333333333</v>
      </c>
      <c r="K242" s="5" t="n">
        <v>0.6666666666666666</v>
      </c>
      <c r="L242" s="5">
        <f>IF(COUNT(J242:K242)=2,K242-J242,0)</f>
        <v/>
      </c>
      <c r="M242" s="6">
        <f>L242*24</f>
        <v/>
      </c>
      <c r="N242" s="3" t="n">
        <v>60</v>
      </c>
      <c r="O242" s="6">
        <f>N242/60</f>
        <v/>
      </c>
      <c r="P242" s="6">
        <f>M242-O242</f>
        <v/>
      </c>
      <c r="Q242" s="6">
        <f>SUMIFS($P:$P,$A:$A,A242,$G:$G,G242)</f>
        <v/>
      </c>
      <c r="R242" s="5" t="n">
        <v>0.4375</v>
      </c>
      <c r="S242" s="5" t="n">
        <v>0.6145833333333334</v>
      </c>
      <c r="T242" s="5" t="n">
        <v>0.4895833333333333</v>
      </c>
      <c r="U242" s="5" t="n">
        <v>0.53125</v>
      </c>
      <c r="V242" s="3">
        <f>IF(COUNT(T242:U242)=2,ROUND((U242-T242)*1440,0),0)</f>
        <v/>
      </c>
    </row>
    <row r="243">
      <c r="A243" s="2" t="inlineStr">
        <is>
          <t>19999999-0</t>
        </is>
      </c>
      <c r="B243" s="3" t="inlineStr">
        <is>
          <t>Activo</t>
        </is>
      </c>
      <c r="C243" s="3" t="inlineStr">
        <is>
          <t>ISABEL CASTRO (EJEMPLO)</t>
        </is>
      </c>
      <c r="D243" s="3" t="inlineStr">
        <is>
          <t>EXAMEN Y PROCEDIMIENTOS</t>
        </is>
      </c>
      <c r="E243" s="4" t="n">
        <v>46325</v>
      </c>
      <c r="F243" s="3" t="inlineStr">
        <is>
          <t>Viernes</t>
        </is>
      </c>
      <c r="G243" s="4" t="n">
        <v>46321</v>
      </c>
      <c r="H243" s="3" t="inlineStr">
        <is>
          <t>Mañana C/sábado</t>
        </is>
      </c>
      <c r="I243" s="3" t="inlineStr">
        <is>
          <t>TRABAJA</t>
        </is>
      </c>
      <c r="J243" s="5" t="n">
        <v>0.3333333333333333</v>
      </c>
      <c r="K243" s="5" t="n">
        <v>0.6666666666666666</v>
      </c>
      <c r="L243" s="5">
        <f>IF(COUNT(J243:K243)=2,K243-J243,0)</f>
        <v/>
      </c>
      <c r="M243" s="6">
        <f>L243*24</f>
        <v/>
      </c>
      <c r="N243" s="3" t="n">
        <v>60</v>
      </c>
      <c r="O243" s="6">
        <f>N243/60</f>
        <v/>
      </c>
      <c r="P243" s="6">
        <f>M243-O243</f>
        <v/>
      </c>
      <c r="Q243" s="6">
        <f>SUMIFS($P:$P,$A:$A,A243,$G:$G,G243)</f>
        <v/>
      </c>
      <c r="R243" s="5" t="n">
        <v>0.4375</v>
      </c>
      <c r="S243" s="5" t="n">
        <v>0.6145833333333334</v>
      </c>
      <c r="T243" s="5" t="n">
        <v>0.4895833333333333</v>
      </c>
      <c r="U243" s="5" t="n">
        <v>0.53125</v>
      </c>
      <c r="V243" s="3">
        <f>IF(COUNT(T243:U243)=2,ROUND((U243-T243)*1440,0),0)</f>
        <v/>
      </c>
    </row>
    <row r="244">
      <c r="A244" s="2" t="inlineStr">
        <is>
          <t>19999999-0</t>
        </is>
      </c>
      <c r="B244" s="3" t="inlineStr">
        <is>
          <t>Activo</t>
        </is>
      </c>
      <c r="C244" s="3" t="inlineStr">
        <is>
          <t>ISABEL CASTRO (EJEMPLO)</t>
        </is>
      </c>
      <c r="D244" s="3" t="inlineStr">
        <is>
          <t>EXAMEN Y PROCEDIMIENTOS</t>
        </is>
      </c>
      <c r="E244" s="4" t="n">
        <v>46326</v>
      </c>
      <c r="F244" s="3" t="inlineStr">
        <is>
          <t>Sábado</t>
        </is>
      </c>
      <c r="G244" s="4" t="n">
        <v>46321</v>
      </c>
      <c r="H244" s="3" t="inlineStr">
        <is>
          <t>Mañana C/sábado</t>
        </is>
      </c>
      <c r="I244" s="3" t="inlineStr">
        <is>
          <t>FERIADO</t>
        </is>
      </c>
      <c r="J244" s="5" t="n"/>
      <c r="K244" s="5" t="n"/>
      <c r="L244" s="5">
        <f>IF(COUNT(J244:K244)=2,K244-J244,0)</f>
        <v/>
      </c>
      <c r="M244" s="6">
        <f>L244*24</f>
        <v/>
      </c>
      <c r="N244" s="3" t="n">
        <v>0</v>
      </c>
      <c r="O244" s="6">
        <f>N244/60</f>
        <v/>
      </c>
      <c r="P244" s="6">
        <f>M244-O244</f>
        <v/>
      </c>
      <c r="Q244" s="6">
        <f>SUMIFS($P:$P,$A:$A,A244,$G:$G,G244)</f>
        <v/>
      </c>
      <c r="R244" s="5" t="n"/>
      <c r="S244" s="5" t="n"/>
      <c r="T244" s="5" t="n"/>
      <c r="U244" s="5" t="n"/>
      <c r="V244" s="3">
        <f>IF(COUNT(T244:U244)=2,ROUND((U244-T244)*1440,0),0)</f>
        <v/>
      </c>
    </row>
    <row r="245">
      <c r="A245" s="2" t="inlineStr">
        <is>
          <t>21111110-0</t>
        </is>
      </c>
      <c r="B245" s="3" t="inlineStr">
        <is>
          <t>Activo</t>
        </is>
      </c>
      <c r="C245" s="3" t="inlineStr">
        <is>
          <t>JORGE REYES (EJEMPLO)</t>
        </is>
      </c>
      <c r="D245" s="3" t="inlineStr">
        <is>
          <t>EXAMEN Y PROCEDIMIENTOS</t>
        </is>
      </c>
      <c r="E245" s="4" t="n">
        <v>46296</v>
      </c>
      <c r="F245" s="3" t="inlineStr">
        <is>
          <t>Jueves</t>
        </is>
      </c>
      <c r="G245" s="4" t="n">
        <v>46293</v>
      </c>
      <c r="H245" s="3" t="inlineStr">
        <is>
          <t>Mañana C/sábado</t>
        </is>
      </c>
      <c r="I245" s="3" t="inlineStr">
        <is>
          <t>TRABAJA</t>
        </is>
      </c>
      <c r="J245" s="5" t="n">
        <v>0.3333333333333333</v>
      </c>
      <c r="K245" s="5" t="n">
        <v>0.6666666666666666</v>
      </c>
      <c r="L245" s="5">
        <f>IF(COUNT(J245:K245)=2,K245-J245,0)</f>
        <v/>
      </c>
      <c r="M245" s="6">
        <f>L245*24</f>
        <v/>
      </c>
      <c r="N245" s="3" t="n">
        <v>60</v>
      </c>
      <c r="O245" s="6">
        <f>N245/60</f>
        <v/>
      </c>
      <c r="P245" s="6">
        <f>M245-O245</f>
        <v/>
      </c>
      <c r="Q245" s="6">
        <f>SUMIFS($P:$P,$A:$A,A245,$G:$G,G245)</f>
        <v/>
      </c>
      <c r="R245" s="5" t="n">
        <v>0.4375</v>
      </c>
      <c r="S245" s="5" t="n">
        <v>0.6145833333333334</v>
      </c>
      <c r="T245" s="5" t="n">
        <v>0.4895833333333333</v>
      </c>
      <c r="U245" s="5" t="n">
        <v>0.53125</v>
      </c>
      <c r="V245" s="3">
        <f>IF(COUNT(T245:U245)=2,ROUND((U245-T245)*1440,0),0)</f>
        <v/>
      </c>
    </row>
    <row r="246">
      <c r="A246" s="2" t="inlineStr">
        <is>
          <t>21111110-0</t>
        </is>
      </c>
      <c r="B246" s="3" t="inlineStr">
        <is>
          <t>Activo</t>
        </is>
      </c>
      <c r="C246" s="3" t="inlineStr">
        <is>
          <t>JORGE REYES (EJEMPLO)</t>
        </is>
      </c>
      <c r="D246" s="3" t="inlineStr">
        <is>
          <t>EXAMEN Y PROCEDIMIENTOS</t>
        </is>
      </c>
      <c r="E246" s="4" t="n">
        <v>46297</v>
      </c>
      <c r="F246" s="3" t="inlineStr">
        <is>
          <t>Viernes</t>
        </is>
      </c>
      <c r="G246" s="4" t="n">
        <v>46293</v>
      </c>
      <c r="H246" s="3" t="inlineStr">
        <is>
          <t>Mañana C/sábado</t>
        </is>
      </c>
      <c r="I246" s="3" t="inlineStr">
        <is>
          <t>TRABAJA</t>
        </is>
      </c>
      <c r="J246" s="5" t="n">
        <v>0.3333333333333333</v>
      </c>
      <c r="K246" s="5" t="n">
        <v>0.6666666666666666</v>
      </c>
      <c r="L246" s="5">
        <f>IF(COUNT(J246:K246)=2,K246-J246,0)</f>
        <v/>
      </c>
      <c r="M246" s="6">
        <f>L246*24</f>
        <v/>
      </c>
      <c r="N246" s="3" t="n">
        <v>60</v>
      </c>
      <c r="O246" s="6">
        <f>N246/60</f>
        <v/>
      </c>
      <c r="P246" s="6">
        <f>M246-O246</f>
        <v/>
      </c>
      <c r="Q246" s="6">
        <f>SUMIFS($P:$P,$A:$A,A246,$G:$G,G246)</f>
        <v/>
      </c>
      <c r="R246" s="5" t="n">
        <v>0.4375</v>
      </c>
      <c r="S246" s="5" t="n">
        <v>0.6145833333333334</v>
      </c>
      <c r="T246" s="5" t="n">
        <v>0.4895833333333333</v>
      </c>
      <c r="U246" s="5" t="n">
        <v>0.53125</v>
      </c>
      <c r="V246" s="3">
        <f>IF(COUNT(T246:U246)=2,ROUND((U246-T246)*1440,0),0)</f>
        <v/>
      </c>
    </row>
    <row r="247">
      <c r="A247" s="2" t="inlineStr">
        <is>
          <t>21111110-0</t>
        </is>
      </c>
      <c r="B247" s="3" t="inlineStr">
        <is>
          <t>Activo</t>
        </is>
      </c>
      <c r="C247" s="3" t="inlineStr">
        <is>
          <t>JORGE REYES (EJEMPLO)</t>
        </is>
      </c>
      <c r="D247" s="3" t="inlineStr">
        <is>
          <t>EXAMEN Y PROCEDIMIENTOS</t>
        </is>
      </c>
      <c r="E247" s="4" t="n">
        <v>46298</v>
      </c>
      <c r="F247" s="3" t="inlineStr">
        <is>
          <t>Sábado</t>
        </is>
      </c>
      <c r="G247" s="4" t="n">
        <v>46293</v>
      </c>
      <c r="H247" s="3" t="inlineStr">
        <is>
          <t>Mañana C/sábado</t>
        </is>
      </c>
      <c r="I247" s="3" t="inlineStr">
        <is>
          <t>TRABAJA</t>
        </is>
      </c>
      <c r="J247" s="5" t="n">
        <v>0.3333333333333333</v>
      </c>
      <c r="K247" s="5" t="n">
        <v>0.5833333333333334</v>
      </c>
      <c r="L247" s="5">
        <f>IF(COUNT(J247:K247)=2,K247-J247,0)</f>
        <v/>
      </c>
      <c r="M247" s="6">
        <f>L247*24</f>
        <v/>
      </c>
      <c r="N247" s="3" t="n">
        <v>30</v>
      </c>
      <c r="O247" s="6">
        <f>N247/60</f>
        <v/>
      </c>
      <c r="P247" s="6">
        <f>M247-O247</f>
        <v/>
      </c>
      <c r="Q247" s="6">
        <f>SUMIFS($P:$P,$A:$A,A247,$G:$G,G247)</f>
        <v/>
      </c>
      <c r="R247" s="5" t="n"/>
      <c r="S247" s="5" t="n"/>
      <c r="T247" s="5" t="n">
        <v>0.4583333333333333</v>
      </c>
      <c r="U247" s="5" t="n">
        <v>0.4791666666666667</v>
      </c>
      <c r="V247" s="3">
        <f>IF(COUNT(T247:U247)=2,ROUND((U247-T247)*1440,0),0)</f>
        <v/>
      </c>
    </row>
    <row r="248">
      <c r="A248" s="2" t="inlineStr">
        <is>
          <t>21111110-0</t>
        </is>
      </c>
      <c r="B248" s="3" t="inlineStr">
        <is>
          <t>Activo</t>
        </is>
      </c>
      <c r="C248" s="3" t="inlineStr">
        <is>
          <t>JORGE REYES (EJEMPLO)</t>
        </is>
      </c>
      <c r="D248" s="3" t="inlineStr">
        <is>
          <t>EXAMEN Y PROCEDIMIENTOS</t>
        </is>
      </c>
      <c r="E248" s="4" t="n">
        <v>46300</v>
      </c>
      <c r="F248" s="3" t="inlineStr">
        <is>
          <t>Lunes</t>
        </is>
      </c>
      <c r="G248" s="4" t="n">
        <v>46300</v>
      </c>
      <c r="H248" s="3" t="inlineStr">
        <is>
          <t>Intermedio S/sábado</t>
        </is>
      </c>
      <c r="I248" s="3" t="inlineStr">
        <is>
          <t>TRABAJA</t>
        </is>
      </c>
      <c r="J248" s="5" t="n">
        <v>0.375</v>
      </c>
      <c r="K248" s="5" t="n">
        <v>0.7916666666666666</v>
      </c>
      <c r="L248" s="5">
        <f>IF(COUNT(J248:K248)=2,K248-J248,0)</f>
        <v/>
      </c>
      <c r="M248" s="6">
        <f>L248*24</f>
        <v/>
      </c>
      <c r="N248" s="3" t="n">
        <v>60</v>
      </c>
      <c r="O248" s="6">
        <f>N248/60</f>
        <v/>
      </c>
      <c r="P248" s="6">
        <f>M248-O248</f>
        <v/>
      </c>
      <c r="Q248" s="6">
        <f>SUMIFS($P:$P,$A:$A,A248,$G:$G,G248)</f>
        <v/>
      </c>
      <c r="R248" s="5" t="n">
        <v>0.4583333333333333</v>
      </c>
      <c r="S248" s="5" t="n">
        <v>0.7291666666666666</v>
      </c>
      <c r="T248" s="5" t="n">
        <v>0.5833333333333334</v>
      </c>
      <c r="U248" s="5" t="n">
        <v>0.625</v>
      </c>
      <c r="V248" s="3">
        <f>IF(COUNT(T248:U248)=2,ROUND((U248-T248)*1440,0),0)</f>
        <v/>
      </c>
    </row>
    <row r="249">
      <c r="A249" s="2" t="inlineStr">
        <is>
          <t>21111110-0</t>
        </is>
      </c>
      <c r="B249" s="3" t="inlineStr">
        <is>
          <t>Activo</t>
        </is>
      </c>
      <c r="C249" s="3" t="inlineStr">
        <is>
          <t>JORGE REYES (EJEMPLO)</t>
        </is>
      </c>
      <c r="D249" s="3" t="inlineStr">
        <is>
          <t>EXAMEN Y PROCEDIMIENTOS</t>
        </is>
      </c>
      <c r="E249" s="4" t="n">
        <v>46301</v>
      </c>
      <c r="F249" s="3" t="inlineStr">
        <is>
          <t>Martes</t>
        </is>
      </c>
      <c r="G249" s="4" t="n">
        <v>46300</v>
      </c>
      <c r="H249" s="3" t="inlineStr">
        <is>
          <t>Intermedio S/sábado</t>
        </is>
      </c>
      <c r="I249" s="3" t="inlineStr">
        <is>
          <t>TRABAJA</t>
        </is>
      </c>
      <c r="J249" s="5" t="n">
        <v>0.375</v>
      </c>
      <c r="K249" s="5" t="n">
        <v>0.7916666666666666</v>
      </c>
      <c r="L249" s="5">
        <f>IF(COUNT(J249:K249)=2,K249-J249,0)</f>
        <v/>
      </c>
      <c r="M249" s="6">
        <f>L249*24</f>
        <v/>
      </c>
      <c r="N249" s="3" t="n">
        <v>60</v>
      </c>
      <c r="O249" s="6">
        <f>N249/60</f>
        <v/>
      </c>
      <c r="P249" s="6">
        <f>M249-O249</f>
        <v/>
      </c>
      <c r="Q249" s="6">
        <f>SUMIFS($P:$P,$A:$A,A249,$G:$G,G249)</f>
        <v/>
      </c>
      <c r="R249" s="5" t="n">
        <v>0.4583333333333333</v>
      </c>
      <c r="S249" s="5" t="n">
        <v>0.7291666666666666</v>
      </c>
      <c r="T249" s="5" t="n">
        <v>0.5833333333333334</v>
      </c>
      <c r="U249" s="5" t="n">
        <v>0.625</v>
      </c>
      <c r="V249" s="3">
        <f>IF(COUNT(T249:U249)=2,ROUND((U249-T249)*1440,0),0)</f>
        <v/>
      </c>
    </row>
    <row r="250">
      <c r="A250" s="2" t="inlineStr">
        <is>
          <t>21111110-0</t>
        </is>
      </c>
      <c r="B250" s="3" t="inlineStr">
        <is>
          <t>Activo</t>
        </is>
      </c>
      <c r="C250" s="3" t="inlineStr">
        <is>
          <t>JORGE REYES (EJEMPLO)</t>
        </is>
      </c>
      <c r="D250" s="3" t="inlineStr">
        <is>
          <t>EXAMEN Y PROCEDIMIENTOS</t>
        </is>
      </c>
      <c r="E250" s="4" t="n">
        <v>46302</v>
      </c>
      <c r="F250" s="3" t="inlineStr">
        <is>
          <t>Miércoles</t>
        </is>
      </c>
      <c r="G250" s="4" t="n">
        <v>46300</v>
      </c>
      <c r="H250" s="3" t="inlineStr">
        <is>
          <t>Intermedio S/sábado</t>
        </is>
      </c>
      <c r="I250" s="3" t="inlineStr">
        <is>
          <t>TRABAJA</t>
        </is>
      </c>
      <c r="J250" s="5" t="n">
        <v>0.375</v>
      </c>
      <c r="K250" s="5" t="n">
        <v>0.75</v>
      </c>
      <c r="L250" s="5">
        <f>IF(COUNT(J250:K250)=2,K250-J250,0)</f>
        <v/>
      </c>
      <c r="M250" s="6">
        <f>L250*24</f>
        <v/>
      </c>
      <c r="N250" s="3" t="n">
        <v>60</v>
      </c>
      <c r="O250" s="6">
        <f>N250/60</f>
        <v/>
      </c>
      <c r="P250" s="6">
        <f>M250-O250</f>
        <v/>
      </c>
      <c r="Q250" s="6">
        <f>SUMIFS($P:$P,$A:$A,A250,$G:$G,G250)</f>
        <v/>
      </c>
      <c r="R250" s="5" t="n">
        <v>0.4583333333333333</v>
      </c>
      <c r="S250" s="5" t="n">
        <v>0.6458333333333334</v>
      </c>
      <c r="T250" s="5" t="n">
        <v>0.5104166666666666</v>
      </c>
      <c r="U250" s="5" t="n">
        <v>0.5520833333333334</v>
      </c>
      <c r="V250" s="3">
        <f>IF(COUNT(T250:U250)=2,ROUND((U250-T250)*1440,0),0)</f>
        <v/>
      </c>
    </row>
    <row r="251">
      <c r="A251" s="2" t="inlineStr">
        <is>
          <t>21111110-0</t>
        </is>
      </c>
      <c r="B251" s="3" t="inlineStr">
        <is>
          <t>Activo</t>
        </is>
      </c>
      <c r="C251" s="3" t="inlineStr">
        <is>
          <t>JORGE REYES (EJEMPLO)</t>
        </is>
      </c>
      <c r="D251" s="3" t="inlineStr">
        <is>
          <t>EXAMEN Y PROCEDIMIENTOS</t>
        </is>
      </c>
      <c r="E251" s="4" t="n">
        <v>46303</v>
      </c>
      <c r="F251" s="3" t="inlineStr">
        <is>
          <t>Jueves</t>
        </is>
      </c>
      <c r="G251" s="4" t="n">
        <v>46300</v>
      </c>
      <c r="H251" s="3" t="inlineStr">
        <is>
          <t>Intermedio S/sábado</t>
        </is>
      </c>
      <c r="I251" s="3" t="inlineStr">
        <is>
          <t>TRABAJA</t>
        </is>
      </c>
      <c r="J251" s="5" t="n">
        <v>0.375</v>
      </c>
      <c r="K251" s="5" t="n">
        <v>0.75</v>
      </c>
      <c r="L251" s="5">
        <f>IF(COUNT(J251:K251)=2,K251-J251,0)</f>
        <v/>
      </c>
      <c r="M251" s="6">
        <f>L251*24</f>
        <v/>
      </c>
      <c r="N251" s="3" t="n">
        <v>60</v>
      </c>
      <c r="O251" s="6">
        <f>N251/60</f>
        <v/>
      </c>
      <c r="P251" s="6">
        <f>M251-O251</f>
        <v/>
      </c>
      <c r="Q251" s="6">
        <f>SUMIFS($P:$P,$A:$A,A251,$G:$G,G251)</f>
        <v/>
      </c>
      <c r="R251" s="5" t="n">
        <v>0.4583333333333333</v>
      </c>
      <c r="S251" s="5" t="n">
        <v>0.6875</v>
      </c>
      <c r="T251" s="5" t="n">
        <v>0.5520833333333334</v>
      </c>
      <c r="U251" s="5" t="n">
        <v>0.59375</v>
      </c>
      <c r="V251" s="3">
        <f>IF(COUNT(T251:U251)=2,ROUND((U251-T251)*1440,0),0)</f>
        <v/>
      </c>
    </row>
    <row r="252">
      <c r="A252" s="2" t="inlineStr">
        <is>
          <t>21111110-0</t>
        </is>
      </c>
      <c r="B252" s="3" t="inlineStr">
        <is>
          <t>Activo</t>
        </is>
      </c>
      <c r="C252" s="3" t="inlineStr">
        <is>
          <t>JORGE REYES (EJEMPLO)</t>
        </is>
      </c>
      <c r="D252" s="3" t="inlineStr">
        <is>
          <t>EXAMEN Y PROCEDIMIENTOS</t>
        </is>
      </c>
      <c r="E252" s="4" t="n">
        <v>46304</v>
      </c>
      <c r="F252" s="3" t="inlineStr">
        <is>
          <t>Viernes</t>
        </is>
      </c>
      <c r="G252" s="4" t="n">
        <v>46300</v>
      </c>
      <c r="H252" s="3" t="inlineStr">
        <is>
          <t>Intermedio S/sábado</t>
        </is>
      </c>
      <c r="I252" s="3" t="inlineStr">
        <is>
          <t>TRABAJA</t>
        </is>
      </c>
      <c r="J252" s="5" t="n">
        <v>0.375</v>
      </c>
      <c r="K252" s="5" t="n">
        <v>0.75</v>
      </c>
      <c r="L252" s="5">
        <f>IF(COUNT(J252:K252)=2,K252-J252,0)</f>
        <v/>
      </c>
      <c r="M252" s="6">
        <f>L252*24</f>
        <v/>
      </c>
      <c r="N252" s="3" t="n">
        <v>60</v>
      </c>
      <c r="O252" s="6">
        <f>N252/60</f>
        <v/>
      </c>
      <c r="P252" s="6">
        <f>M252-O252</f>
        <v/>
      </c>
      <c r="Q252" s="6">
        <f>SUMIFS($P:$P,$A:$A,A252,$G:$G,G252)</f>
        <v/>
      </c>
      <c r="R252" s="5" t="n">
        <v>0.4583333333333333</v>
      </c>
      <c r="S252" s="5" t="n">
        <v>0.6875</v>
      </c>
      <c r="T252" s="5" t="n">
        <v>0.5625</v>
      </c>
      <c r="U252" s="5" t="n">
        <v>0.6041666666666666</v>
      </c>
      <c r="V252" s="3">
        <f>IF(COUNT(T252:U252)=2,ROUND((U252-T252)*1440,0),0)</f>
        <v/>
      </c>
    </row>
    <row r="253">
      <c r="A253" s="2" t="inlineStr">
        <is>
          <t>21111110-0</t>
        </is>
      </c>
      <c r="B253" s="3" t="inlineStr">
        <is>
          <t>Activo</t>
        </is>
      </c>
      <c r="C253" s="3" t="inlineStr">
        <is>
          <t>JORGE REYES (EJEMPLO)</t>
        </is>
      </c>
      <c r="D253" s="3" t="inlineStr">
        <is>
          <t>EXAMEN Y PROCEDIMIENTOS</t>
        </is>
      </c>
      <c r="E253" s="4" t="n">
        <v>46305</v>
      </c>
      <c r="F253" s="3" t="inlineStr">
        <is>
          <t>Sábado</t>
        </is>
      </c>
      <c r="G253" s="4" t="n">
        <v>46300</v>
      </c>
      <c r="H253" s="3" t="inlineStr">
        <is>
          <t>Intermedio S/sábado</t>
        </is>
      </c>
      <c r="I253" s="3" t="inlineStr">
        <is>
          <t>LIBRE</t>
        </is>
      </c>
      <c r="J253" s="5" t="n"/>
      <c r="K253" s="5" t="n"/>
      <c r="L253" s="5">
        <f>IF(COUNT(J253:K253)=2,K253-J253,0)</f>
        <v/>
      </c>
      <c r="M253" s="6">
        <f>L253*24</f>
        <v/>
      </c>
      <c r="N253" s="3" t="n">
        <v>0</v>
      </c>
      <c r="O253" s="6">
        <f>N253/60</f>
        <v/>
      </c>
      <c r="P253" s="6">
        <f>M253-O253</f>
        <v/>
      </c>
      <c r="Q253" s="6">
        <f>SUMIFS($P:$P,$A:$A,A253,$G:$G,G253)</f>
        <v/>
      </c>
      <c r="R253" s="5" t="n"/>
      <c r="S253" s="5" t="n"/>
      <c r="T253" s="5" t="n"/>
      <c r="U253" s="5" t="n"/>
      <c r="V253" s="3">
        <f>IF(COUNT(T253:U253)=2,ROUND((U253-T253)*1440,0),0)</f>
        <v/>
      </c>
    </row>
    <row r="254">
      <c r="A254" s="2" t="inlineStr">
        <is>
          <t>21111110-0</t>
        </is>
      </c>
      <c r="B254" s="3" t="inlineStr">
        <is>
          <t>Activo</t>
        </is>
      </c>
      <c r="C254" s="3" t="inlineStr">
        <is>
          <t>JORGE REYES (EJEMPLO)</t>
        </is>
      </c>
      <c r="D254" s="3" t="inlineStr">
        <is>
          <t>EXAMEN Y PROCEDIMIENTOS</t>
        </is>
      </c>
      <c r="E254" s="4" t="n">
        <v>46307</v>
      </c>
      <c r="F254" s="3" t="inlineStr">
        <is>
          <t>Lunes</t>
        </is>
      </c>
      <c r="G254" s="4" t="n">
        <v>46307</v>
      </c>
      <c r="H254" s="3" t="inlineStr">
        <is>
          <t>Intermedio S/sábado</t>
        </is>
      </c>
      <c r="I254" s="3" t="inlineStr">
        <is>
          <t>FERIADO</t>
        </is>
      </c>
      <c r="J254" s="5" t="n"/>
      <c r="K254" s="5" t="n"/>
      <c r="L254" s="5">
        <f>IF(COUNT(J254:K254)=2,K254-J254,0)</f>
        <v/>
      </c>
      <c r="M254" s="6">
        <f>L254*24</f>
        <v/>
      </c>
      <c r="N254" s="3" t="n">
        <v>0</v>
      </c>
      <c r="O254" s="6">
        <f>N254/60</f>
        <v/>
      </c>
      <c r="P254" s="6">
        <f>M254-O254</f>
        <v/>
      </c>
      <c r="Q254" s="6">
        <f>SUMIFS($P:$P,$A:$A,A254,$G:$G,G254)</f>
        <v/>
      </c>
      <c r="R254" s="5" t="n"/>
      <c r="S254" s="5" t="n"/>
      <c r="T254" s="5" t="n"/>
      <c r="U254" s="5" t="n"/>
      <c r="V254" s="3">
        <f>IF(COUNT(T254:U254)=2,ROUND((U254-T254)*1440,0),0)</f>
        <v/>
      </c>
    </row>
    <row r="255">
      <c r="A255" s="2" t="inlineStr">
        <is>
          <t>21111110-0</t>
        </is>
      </c>
      <c r="B255" s="3" t="inlineStr">
        <is>
          <t>Activo</t>
        </is>
      </c>
      <c r="C255" s="3" t="inlineStr">
        <is>
          <t>JORGE REYES (EJEMPLO)</t>
        </is>
      </c>
      <c r="D255" s="3" t="inlineStr">
        <is>
          <t>EXAMEN Y PROCEDIMIENTOS</t>
        </is>
      </c>
      <c r="E255" s="4" t="n">
        <v>46308</v>
      </c>
      <c r="F255" s="3" t="inlineStr">
        <is>
          <t>Martes</t>
        </is>
      </c>
      <c r="G255" s="4" t="n">
        <v>46307</v>
      </c>
      <c r="H255" s="3" t="inlineStr">
        <is>
          <t>Intermedio S/sábado</t>
        </is>
      </c>
      <c r="I255" s="3" t="inlineStr">
        <is>
          <t>TRABAJA</t>
        </is>
      </c>
      <c r="J255" s="5" t="n">
        <v>0.375</v>
      </c>
      <c r="K255" s="5" t="n">
        <v>0.7916666666666666</v>
      </c>
      <c r="L255" s="5">
        <f>IF(COUNT(J255:K255)=2,K255-J255,0)</f>
        <v/>
      </c>
      <c r="M255" s="6">
        <f>L255*24</f>
        <v/>
      </c>
      <c r="N255" s="3" t="n">
        <v>60</v>
      </c>
      <c r="O255" s="6">
        <f>N255/60</f>
        <v/>
      </c>
      <c r="P255" s="6">
        <f>M255-O255</f>
        <v/>
      </c>
      <c r="Q255" s="6">
        <f>SUMIFS($P:$P,$A:$A,A255,$G:$G,G255)</f>
        <v/>
      </c>
      <c r="R255" s="5" t="n">
        <v>0.4583333333333333</v>
      </c>
      <c r="S255" s="5" t="n">
        <v>0.7291666666666666</v>
      </c>
      <c r="T255" s="5" t="n">
        <v>0.5833333333333334</v>
      </c>
      <c r="U255" s="5" t="n">
        <v>0.625</v>
      </c>
      <c r="V255" s="3">
        <f>IF(COUNT(T255:U255)=2,ROUND((U255-T255)*1440,0),0)</f>
        <v/>
      </c>
    </row>
    <row r="256">
      <c r="A256" s="2" t="inlineStr">
        <is>
          <t>21111110-0</t>
        </is>
      </c>
      <c r="B256" s="3" t="inlineStr">
        <is>
          <t>Activo</t>
        </is>
      </c>
      <c r="C256" s="3" t="inlineStr">
        <is>
          <t>JORGE REYES (EJEMPLO)</t>
        </is>
      </c>
      <c r="D256" s="3" t="inlineStr">
        <is>
          <t>EXAMEN Y PROCEDIMIENTOS</t>
        </is>
      </c>
      <c r="E256" s="4" t="n">
        <v>46309</v>
      </c>
      <c r="F256" s="3" t="inlineStr">
        <is>
          <t>Miércoles</t>
        </is>
      </c>
      <c r="G256" s="4" t="n">
        <v>46307</v>
      </c>
      <c r="H256" s="3" t="inlineStr">
        <is>
          <t>Intermedio S/sábado</t>
        </is>
      </c>
      <c r="I256" s="3" t="inlineStr">
        <is>
          <t>TRABAJA</t>
        </is>
      </c>
      <c r="J256" s="5" t="n">
        <v>0.375</v>
      </c>
      <c r="K256" s="5" t="n">
        <v>0.75</v>
      </c>
      <c r="L256" s="5">
        <f>IF(COUNT(J256:K256)=2,K256-J256,0)</f>
        <v/>
      </c>
      <c r="M256" s="6">
        <f>L256*24</f>
        <v/>
      </c>
      <c r="N256" s="3" t="n">
        <v>60</v>
      </c>
      <c r="O256" s="6">
        <f>N256/60</f>
        <v/>
      </c>
      <c r="P256" s="6">
        <f>M256-O256</f>
        <v/>
      </c>
      <c r="Q256" s="6">
        <f>SUMIFS($P:$P,$A:$A,A256,$G:$G,G256)</f>
        <v/>
      </c>
      <c r="R256" s="5" t="n">
        <v>0.4583333333333333</v>
      </c>
      <c r="S256" s="5" t="n">
        <v>0.6458333333333334</v>
      </c>
      <c r="T256" s="5" t="n">
        <v>0.5104166666666666</v>
      </c>
      <c r="U256" s="5" t="n">
        <v>0.5520833333333334</v>
      </c>
      <c r="V256" s="3">
        <f>IF(COUNT(T256:U256)=2,ROUND((U256-T256)*1440,0),0)</f>
        <v/>
      </c>
    </row>
    <row r="257">
      <c r="A257" s="2" t="inlineStr">
        <is>
          <t>21111110-0</t>
        </is>
      </c>
      <c r="B257" s="3" t="inlineStr">
        <is>
          <t>Activo</t>
        </is>
      </c>
      <c r="C257" s="3" t="inlineStr">
        <is>
          <t>JORGE REYES (EJEMPLO)</t>
        </is>
      </c>
      <c r="D257" s="3" t="inlineStr">
        <is>
          <t>EXAMEN Y PROCEDIMIENTOS</t>
        </is>
      </c>
      <c r="E257" s="4" t="n">
        <v>46310</v>
      </c>
      <c r="F257" s="3" t="inlineStr">
        <is>
          <t>Jueves</t>
        </is>
      </c>
      <c r="G257" s="4" t="n">
        <v>46307</v>
      </c>
      <c r="H257" s="3" t="inlineStr">
        <is>
          <t>Intermedio S/sábado</t>
        </is>
      </c>
      <c r="I257" s="3" t="inlineStr">
        <is>
          <t>TRABAJA</t>
        </is>
      </c>
      <c r="J257" s="5" t="n">
        <v>0.375</v>
      </c>
      <c r="K257" s="5" t="n">
        <v>0.75</v>
      </c>
      <c r="L257" s="5">
        <f>IF(COUNT(J257:K257)=2,K257-J257,0)</f>
        <v/>
      </c>
      <c r="M257" s="6">
        <f>L257*24</f>
        <v/>
      </c>
      <c r="N257" s="3" t="n">
        <v>60</v>
      </c>
      <c r="O257" s="6">
        <f>N257/60</f>
        <v/>
      </c>
      <c r="P257" s="6">
        <f>M257-O257</f>
        <v/>
      </c>
      <c r="Q257" s="6">
        <f>SUMIFS($P:$P,$A:$A,A257,$G:$G,G257)</f>
        <v/>
      </c>
      <c r="R257" s="5" t="n">
        <v>0.4583333333333333</v>
      </c>
      <c r="S257" s="5" t="n">
        <v>0.6875</v>
      </c>
      <c r="T257" s="5" t="n">
        <v>0.5520833333333334</v>
      </c>
      <c r="U257" s="5" t="n">
        <v>0.59375</v>
      </c>
      <c r="V257" s="3">
        <f>IF(COUNT(T257:U257)=2,ROUND((U257-T257)*1440,0),0)</f>
        <v/>
      </c>
    </row>
    <row r="258">
      <c r="A258" s="2" t="inlineStr">
        <is>
          <t>21111110-0</t>
        </is>
      </c>
      <c r="B258" s="3" t="inlineStr">
        <is>
          <t>Activo</t>
        </is>
      </c>
      <c r="C258" s="3" t="inlineStr">
        <is>
          <t>JORGE REYES (EJEMPLO)</t>
        </is>
      </c>
      <c r="D258" s="3" t="inlineStr">
        <is>
          <t>EXAMEN Y PROCEDIMIENTOS</t>
        </is>
      </c>
      <c r="E258" s="4" t="n">
        <v>46311</v>
      </c>
      <c r="F258" s="3" t="inlineStr">
        <is>
          <t>Viernes</t>
        </is>
      </c>
      <c r="G258" s="4" t="n">
        <v>46307</v>
      </c>
      <c r="H258" s="3" t="inlineStr">
        <is>
          <t>Intermedio S/sábado</t>
        </is>
      </c>
      <c r="I258" s="3" t="inlineStr">
        <is>
          <t>TRABAJA</t>
        </is>
      </c>
      <c r="J258" s="5" t="n">
        <v>0.375</v>
      </c>
      <c r="K258" s="5" t="n">
        <v>0.75</v>
      </c>
      <c r="L258" s="5">
        <f>IF(COUNT(J258:K258)=2,K258-J258,0)</f>
        <v/>
      </c>
      <c r="M258" s="6">
        <f>L258*24</f>
        <v/>
      </c>
      <c r="N258" s="3" t="n">
        <v>60</v>
      </c>
      <c r="O258" s="6">
        <f>N258/60</f>
        <v/>
      </c>
      <c r="P258" s="6">
        <f>M258-O258</f>
        <v/>
      </c>
      <c r="Q258" s="6">
        <f>SUMIFS($P:$P,$A:$A,A258,$G:$G,G258)</f>
        <v/>
      </c>
      <c r="R258" s="5" t="n">
        <v>0.4583333333333333</v>
      </c>
      <c r="S258" s="5" t="n">
        <v>0.6875</v>
      </c>
      <c r="T258" s="5" t="n">
        <v>0.5625</v>
      </c>
      <c r="U258" s="5" t="n">
        <v>0.6041666666666666</v>
      </c>
      <c r="V258" s="3">
        <f>IF(COUNT(T258:U258)=2,ROUND((U258-T258)*1440,0),0)</f>
        <v/>
      </c>
    </row>
    <row r="259">
      <c r="A259" s="2" t="inlineStr">
        <is>
          <t>21111110-0</t>
        </is>
      </c>
      <c r="B259" s="3" t="inlineStr">
        <is>
          <t>Activo</t>
        </is>
      </c>
      <c r="C259" s="3" t="inlineStr">
        <is>
          <t>JORGE REYES (EJEMPLO)</t>
        </is>
      </c>
      <c r="D259" s="3" t="inlineStr">
        <is>
          <t>EXAMEN Y PROCEDIMIENTOS</t>
        </is>
      </c>
      <c r="E259" s="4" t="n">
        <v>46312</v>
      </c>
      <c r="F259" s="3" t="inlineStr">
        <is>
          <t>Sábado</t>
        </is>
      </c>
      <c r="G259" s="4" t="n">
        <v>46307</v>
      </c>
      <c r="H259" s="3" t="inlineStr">
        <is>
          <t>Intermedio S/sábado</t>
        </is>
      </c>
      <c r="I259" s="3" t="inlineStr">
        <is>
          <t>LIBRE</t>
        </is>
      </c>
      <c r="J259" s="5" t="n"/>
      <c r="K259" s="5" t="n"/>
      <c r="L259" s="5">
        <f>IF(COUNT(J259:K259)=2,K259-J259,0)</f>
        <v/>
      </c>
      <c r="M259" s="6">
        <f>L259*24</f>
        <v/>
      </c>
      <c r="N259" s="3" t="n">
        <v>0</v>
      </c>
      <c r="O259" s="6">
        <f>N259/60</f>
        <v/>
      </c>
      <c r="P259" s="6">
        <f>M259-O259</f>
        <v/>
      </c>
      <c r="Q259" s="6">
        <f>SUMIFS($P:$P,$A:$A,A259,$G:$G,G259)</f>
        <v/>
      </c>
      <c r="R259" s="5" t="n"/>
      <c r="S259" s="5" t="n"/>
      <c r="T259" s="5" t="n"/>
      <c r="U259" s="5" t="n"/>
      <c r="V259" s="3">
        <f>IF(COUNT(T259:U259)=2,ROUND((U259-T259)*1440,0),0)</f>
        <v/>
      </c>
    </row>
    <row r="260">
      <c r="A260" s="2" t="inlineStr">
        <is>
          <t>21111110-0</t>
        </is>
      </c>
      <c r="B260" s="3" t="inlineStr">
        <is>
          <t>Activo</t>
        </is>
      </c>
      <c r="C260" s="3" t="inlineStr">
        <is>
          <t>JORGE REYES (EJEMPLO)</t>
        </is>
      </c>
      <c r="D260" s="3" t="inlineStr">
        <is>
          <t>EXAMEN Y PROCEDIMIENTOS</t>
        </is>
      </c>
      <c r="E260" s="4" t="n">
        <v>46314</v>
      </c>
      <c r="F260" s="3" t="inlineStr">
        <is>
          <t>Lunes</t>
        </is>
      </c>
      <c r="G260" s="4" t="n">
        <v>46314</v>
      </c>
      <c r="H260" s="3" t="inlineStr">
        <is>
          <t>Tarde C/sábado</t>
        </is>
      </c>
      <c r="I260" s="3" t="inlineStr">
        <is>
          <t>TRABAJA</t>
        </is>
      </c>
      <c r="J260" s="5" t="n">
        <v>0.4791666666666667</v>
      </c>
      <c r="K260" s="5" t="n">
        <v>0.8333333333333334</v>
      </c>
      <c r="L260" s="5">
        <f>IF(COUNT(J260:K260)=2,K260-J260,0)</f>
        <v/>
      </c>
      <c r="M260" s="6">
        <f>L260*24</f>
        <v/>
      </c>
      <c r="N260" s="3" t="n">
        <v>60</v>
      </c>
      <c r="O260" s="6">
        <f>N260/60</f>
        <v/>
      </c>
      <c r="P260" s="6">
        <f>M260-O260</f>
        <v/>
      </c>
      <c r="Q260" s="6">
        <f>SUMIFS($P:$P,$A:$A,A260,$G:$G,G260)</f>
        <v/>
      </c>
      <c r="R260" s="5" t="n">
        <v>0.5625</v>
      </c>
      <c r="S260" s="5" t="n">
        <v>0.7916666666666666</v>
      </c>
      <c r="T260" s="5" t="n">
        <v>0.6666666666666666</v>
      </c>
      <c r="U260" s="5" t="n">
        <v>0.7083333333333334</v>
      </c>
      <c r="V260" s="3">
        <f>IF(COUNT(T260:U260)=2,ROUND((U260-T260)*1440,0),0)</f>
        <v/>
      </c>
    </row>
    <row r="261">
      <c r="A261" s="2" t="inlineStr">
        <is>
          <t>21111110-0</t>
        </is>
      </c>
      <c r="B261" s="3" t="inlineStr">
        <is>
          <t>Activo</t>
        </is>
      </c>
      <c r="C261" s="3" t="inlineStr">
        <is>
          <t>JORGE REYES (EJEMPLO)</t>
        </is>
      </c>
      <c r="D261" s="3" t="inlineStr">
        <is>
          <t>EXAMEN Y PROCEDIMIENTOS</t>
        </is>
      </c>
      <c r="E261" s="4" t="n">
        <v>46315</v>
      </c>
      <c r="F261" s="3" t="inlineStr">
        <is>
          <t>Martes</t>
        </is>
      </c>
      <c r="G261" s="4" t="n">
        <v>46314</v>
      </c>
      <c r="H261" s="3" t="inlineStr">
        <is>
          <t>Tarde C/sábado</t>
        </is>
      </c>
      <c r="I261" s="3" t="inlineStr">
        <is>
          <t>TRABAJA</t>
        </is>
      </c>
      <c r="J261" s="5" t="n">
        <v>0.4791666666666667</v>
      </c>
      <c r="K261" s="5" t="n">
        <v>0.8333333333333334</v>
      </c>
      <c r="L261" s="5">
        <f>IF(COUNT(J261:K261)=2,K261-J261,0)</f>
        <v/>
      </c>
      <c r="M261" s="6">
        <f>L261*24</f>
        <v/>
      </c>
      <c r="N261" s="3" t="n">
        <v>60</v>
      </c>
      <c r="O261" s="6">
        <f>N261/60</f>
        <v/>
      </c>
      <c r="P261" s="6">
        <f>M261-O261</f>
        <v/>
      </c>
      <c r="Q261" s="6">
        <f>SUMIFS($P:$P,$A:$A,A261,$G:$G,G261)</f>
        <v/>
      </c>
      <c r="R261" s="5" t="n">
        <v>0.5625</v>
      </c>
      <c r="S261" s="5" t="n">
        <v>0.7916666666666666</v>
      </c>
      <c r="T261" s="5" t="n">
        <v>0.6666666666666666</v>
      </c>
      <c r="U261" s="5" t="n">
        <v>0.7083333333333334</v>
      </c>
      <c r="V261" s="3">
        <f>IF(COUNT(T261:U261)=2,ROUND((U261-T261)*1440,0),0)</f>
        <v/>
      </c>
    </row>
    <row r="262">
      <c r="A262" s="2" t="inlineStr">
        <is>
          <t>21111110-0</t>
        </is>
      </c>
      <c r="B262" s="3" t="inlineStr">
        <is>
          <t>Activo</t>
        </is>
      </c>
      <c r="C262" s="3" t="inlineStr">
        <is>
          <t>JORGE REYES (EJEMPLO)</t>
        </is>
      </c>
      <c r="D262" s="3" t="inlineStr">
        <is>
          <t>EXAMEN Y PROCEDIMIENTOS</t>
        </is>
      </c>
      <c r="E262" s="4" t="n">
        <v>46316</v>
      </c>
      <c r="F262" s="3" t="inlineStr">
        <is>
          <t>Miércoles</t>
        </is>
      </c>
      <c r="G262" s="4" t="n">
        <v>46314</v>
      </c>
      <c r="H262" s="3" t="inlineStr">
        <is>
          <t>Tarde C/sábado</t>
        </is>
      </c>
      <c r="I262" s="3" t="inlineStr">
        <is>
          <t>TRABAJA</t>
        </is>
      </c>
      <c r="J262" s="5" t="n">
        <v>0.4791666666666667</v>
      </c>
      <c r="K262" s="5" t="n">
        <v>0.8333333333333334</v>
      </c>
      <c r="L262" s="5">
        <f>IF(COUNT(J262:K262)=2,K262-J262,0)</f>
        <v/>
      </c>
      <c r="M262" s="6">
        <f>L262*24</f>
        <v/>
      </c>
      <c r="N262" s="3" t="n">
        <v>60</v>
      </c>
      <c r="O262" s="6">
        <f>N262/60</f>
        <v/>
      </c>
      <c r="P262" s="6">
        <f>M262-O262</f>
        <v/>
      </c>
      <c r="Q262" s="6">
        <f>SUMIFS($P:$P,$A:$A,A262,$G:$G,G262)</f>
        <v/>
      </c>
      <c r="R262" s="5" t="n">
        <v>0.5625</v>
      </c>
      <c r="S262" s="5" t="n">
        <v>0.78125</v>
      </c>
      <c r="T262" s="5" t="n">
        <v>0.65625</v>
      </c>
      <c r="U262" s="5" t="n">
        <v>0.6979166666666666</v>
      </c>
      <c r="V262" s="3">
        <f>IF(COUNT(T262:U262)=2,ROUND((U262-T262)*1440,0),0)</f>
        <v/>
      </c>
    </row>
    <row r="263">
      <c r="A263" s="2" t="inlineStr">
        <is>
          <t>21111110-0</t>
        </is>
      </c>
      <c r="B263" s="3" t="inlineStr">
        <is>
          <t>Activo</t>
        </is>
      </c>
      <c r="C263" s="3" t="inlineStr">
        <is>
          <t>JORGE REYES (EJEMPLO)</t>
        </is>
      </c>
      <c r="D263" s="3" t="inlineStr">
        <is>
          <t>EXAMEN Y PROCEDIMIENTOS</t>
        </is>
      </c>
      <c r="E263" s="4" t="n">
        <v>46317</v>
      </c>
      <c r="F263" s="3" t="inlineStr">
        <is>
          <t>Jueves</t>
        </is>
      </c>
      <c r="G263" s="4" t="n">
        <v>46314</v>
      </c>
      <c r="H263" s="3" t="inlineStr">
        <is>
          <t>Tarde C/sábado</t>
        </is>
      </c>
      <c r="I263" s="3" t="inlineStr">
        <is>
          <t>TRABAJA</t>
        </is>
      </c>
      <c r="J263" s="5" t="n">
        <v>0.5</v>
      </c>
      <c r="K263" s="5" t="n">
        <v>0.8333333333333334</v>
      </c>
      <c r="L263" s="5">
        <f>IF(COUNT(J263:K263)=2,K263-J263,0)</f>
        <v/>
      </c>
      <c r="M263" s="6">
        <f>L263*24</f>
        <v/>
      </c>
      <c r="N263" s="3" t="n">
        <v>60</v>
      </c>
      <c r="O263" s="6">
        <f>N263/60</f>
        <v/>
      </c>
      <c r="P263" s="6">
        <f>M263-O263</f>
        <v/>
      </c>
      <c r="Q263" s="6">
        <f>SUMIFS($P:$P,$A:$A,A263,$G:$G,G263)</f>
        <v/>
      </c>
      <c r="R263" s="5" t="n">
        <v>0.5833333333333334</v>
      </c>
      <c r="S263" s="5" t="n">
        <v>0.7604166666666666</v>
      </c>
      <c r="T263" s="5" t="n">
        <v>0.6354166666666666</v>
      </c>
      <c r="U263" s="5" t="n">
        <v>0.6770833333333334</v>
      </c>
      <c r="V263" s="3">
        <f>IF(COUNT(T263:U263)=2,ROUND((U263-T263)*1440,0),0)</f>
        <v/>
      </c>
    </row>
    <row r="264">
      <c r="A264" s="2" t="inlineStr">
        <is>
          <t>21111110-0</t>
        </is>
      </c>
      <c r="B264" s="3" t="inlineStr">
        <is>
          <t>Activo</t>
        </is>
      </c>
      <c r="C264" s="3" t="inlineStr">
        <is>
          <t>JORGE REYES (EJEMPLO)</t>
        </is>
      </c>
      <c r="D264" s="3" t="inlineStr">
        <is>
          <t>EXAMEN Y PROCEDIMIENTOS</t>
        </is>
      </c>
      <c r="E264" s="4" t="n">
        <v>46318</v>
      </c>
      <c r="F264" s="3" t="inlineStr">
        <is>
          <t>Viernes</t>
        </is>
      </c>
      <c r="G264" s="4" t="n">
        <v>46314</v>
      </c>
      <c r="H264" s="3" t="inlineStr">
        <is>
          <t>Tarde C/sábado</t>
        </is>
      </c>
      <c r="I264" s="3" t="inlineStr">
        <is>
          <t>TRABAJA</t>
        </is>
      </c>
      <c r="J264" s="5" t="n">
        <v>0.5</v>
      </c>
      <c r="K264" s="5" t="n">
        <v>0.8333333333333334</v>
      </c>
      <c r="L264" s="5">
        <f>IF(COUNT(J264:K264)=2,K264-J264,0)</f>
        <v/>
      </c>
      <c r="M264" s="6">
        <f>L264*24</f>
        <v/>
      </c>
      <c r="N264" s="3" t="n">
        <v>60</v>
      </c>
      <c r="O264" s="6">
        <f>N264/60</f>
        <v/>
      </c>
      <c r="P264" s="6">
        <f>M264-O264</f>
        <v/>
      </c>
      <c r="Q264" s="6">
        <f>SUMIFS($P:$P,$A:$A,A264,$G:$G,G264)</f>
        <v/>
      </c>
      <c r="R264" s="5" t="n">
        <v>0.5833333333333334</v>
      </c>
      <c r="S264" s="5" t="n">
        <v>0.7604166666666666</v>
      </c>
      <c r="T264" s="5" t="n">
        <v>0.6354166666666666</v>
      </c>
      <c r="U264" s="5" t="n">
        <v>0.6770833333333334</v>
      </c>
      <c r="V264" s="3">
        <f>IF(COUNT(T264:U264)=2,ROUND((U264-T264)*1440,0),0)</f>
        <v/>
      </c>
    </row>
    <row r="265">
      <c r="A265" s="2" t="inlineStr">
        <is>
          <t>21111110-0</t>
        </is>
      </c>
      <c r="B265" s="3" t="inlineStr">
        <is>
          <t>Activo</t>
        </is>
      </c>
      <c r="C265" s="3" t="inlineStr">
        <is>
          <t>JORGE REYES (EJEMPLO)</t>
        </is>
      </c>
      <c r="D265" s="3" t="inlineStr">
        <is>
          <t>EXAMEN Y PROCEDIMIENTOS</t>
        </is>
      </c>
      <c r="E265" s="4" t="n">
        <v>46319</v>
      </c>
      <c r="F265" s="3" t="inlineStr">
        <is>
          <t>Sábado</t>
        </is>
      </c>
      <c r="G265" s="4" t="n">
        <v>46314</v>
      </c>
      <c r="H265" s="3" t="inlineStr">
        <is>
          <t>Tarde C/sábado</t>
        </is>
      </c>
      <c r="I265" s="3" t="inlineStr">
        <is>
          <t>TRABAJA</t>
        </is>
      </c>
      <c r="J265" s="5" t="n">
        <v>0.3333333333333333</v>
      </c>
      <c r="K265" s="5" t="n">
        <v>0.5833333333333334</v>
      </c>
      <c r="L265" s="5">
        <f>IF(COUNT(J265:K265)=2,K265-J265,0)</f>
        <v/>
      </c>
      <c r="M265" s="6">
        <f>L265*24</f>
        <v/>
      </c>
      <c r="N265" s="3" t="n">
        <v>30</v>
      </c>
      <c r="O265" s="6">
        <f>N265/60</f>
        <v/>
      </c>
      <c r="P265" s="6">
        <f>M265-O265</f>
        <v/>
      </c>
      <c r="Q265" s="6">
        <f>SUMIFS($P:$P,$A:$A,A265,$G:$G,G265)</f>
        <v/>
      </c>
      <c r="R265" s="5" t="n"/>
      <c r="S265" s="5" t="n"/>
      <c r="T265" s="5" t="n">
        <v>0.4583333333333333</v>
      </c>
      <c r="U265" s="5" t="n">
        <v>0.4791666666666667</v>
      </c>
      <c r="V265" s="3">
        <f>IF(COUNT(T265:U265)=2,ROUND((U265-T265)*1440,0),0)</f>
        <v/>
      </c>
    </row>
    <row r="266">
      <c r="A266" s="2" t="inlineStr">
        <is>
          <t>21111110-0</t>
        </is>
      </c>
      <c r="B266" s="3" t="inlineStr">
        <is>
          <t>Activo</t>
        </is>
      </c>
      <c r="C266" s="3" t="inlineStr">
        <is>
          <t>JORGE REYES (EJEMPLO)</t>
        </is>
      </c>
      <c r="D266" s="3" t="inlineStr">
        <is>
          <t>EXAMEN Y PROCEDIMIENTOS</t>
        </is>
      </c>
      <c r="E266" s="4" t="n">
        <v>46321</v>
      </c>
      <c r="F266" s="3" t="inlineStr">
        <is>
          <t>Lunes</t>
        </is>
      </c>
      <c r="G266" s="4" t="n">
        <v>46321</v>
      </c>
      <c r="H266" s="3" t="inlineStr">
        <is>
          <t>Mañana S/sábado</t>
        </is>
      </c>
      <c r="I266" s="3" t="inlineStr">
        <is>
          <t>TRABAJA</t>
        </is>
      </c>
      <c r="J266" s="5" t="n">
        <v>0.3333333333333333</v>
      </c>
      <c r="K266" s="5" t="n">
        <v>0.7291666666666666</v>
      </c>
      <c r="L266" s="5">
        <f>IF(COUNT(J266:K266)=2,K266-J266,0)</f>
        <v/>
      </c>
      <c r="M266" s="6">
        <f>L266*24</f>
        <v/>
      </c>
      <c r="N266" s="3" t="n">
        <v>60</v>
      </c>
      <c r="O266" s="6">
        <f>N266/60</f>
        <v/>
      </c>
      <c r="P266" s="6">
        <f>M266-O266</f>
        <v/>
      </c>
      <c r="Q266" s="6">
        <f>SUMIFS($P:$P,$A:$A,A266,$G:$G,G266)</f>
        <v/>
      </c>
      <c r="R266" s="5" t="n">
        <v>0.4270833333333333</v>
      </c>
      <c r="S266" s="5" t="n">
        <v>0.6666666666666666</v>
      </c>
      <c r="T266" s="5" t="n">
        <v>0.5104166666666666</v>
      </c>
      <c r="U266" s="5" t="n">
        <v>0.5520833333333334</v>
      </c>
      <c r="V266" s="3">
        <f>IF(COUNT(T266:U266)=2,ROUND((U266-T266)*1440,0),0)</f>
        <v/>
      </c>
    </row>
    <row r="267">
      <c r="A267" s="2" t="inlineStr">
        <is>
          <t>21111110-0</t>
        </is>
      </c>
      <c r="B267" s="3" t="inlineStr">
        <is>
          <t>Activo</t>
        </is>
      </c>
      <c r="C267" s="3" t="inlineStr">
        <is>
          <t>JORGE REYES (EJEMPLO)</t>
        </is>
      </c>
      <c r="D267" s="3" t="inlineStr">
        <is>
          <t>EXAMEN Y PROCEDIMIENTOS</t>
        </is>
      </c>
      <c r="E267" s="4" t="n">
        <v>46322</v>
      </c>
      <c r="F267" s="3" t="inlineStr">
        <is>
          <t>Martes</t>
        </is>
      </c>
      <c r="G267" s="4" t="n">
        <v>46321</v>
      </c>
      <c r="H267" s="3" t="inlineStr">
        <is>
          <t>Mañana S/sábado</t>
        </is>
      </c>
      <c r="I267" s="3" t="inlineStr">
        <is>
          <t>TRABAJA</t>
        </is>
      </c>
      <c r="J267" s="5" t="n">
        <v>0.3333333333333333</v>
      </c>
      <c r="K267" s="5" t="n">
        <v>0.7291666666666666</v>
      </c>
      <c r="L267" s="5">
        <f>IF(COUNT(J267:K267)=2,K267-J267,0)</f>
        <v/>
      </c>
      <c r="M267" s="6">
        <f>L267*24</f>
        <v/>
      </c>
      <c r="N267" s="3" t="n">
        <v>60</v>
      </c>
      <c r="O267" s="6">
        <f>N267/60</f>
        <v/>
      </c>
      <c r="P267" s="6">
        <f>M267-O267</f>
        <v/>
      </c>
      <c r="Q267" s="6">
        <f>SUMIFS($P:$P,$A:$A,A267,$G:$G,G267)</f>
        <v/>
      </c>
      <c r="R267" s="5" t="n">
        <v>0.4270833333333333</v>
      </c>
      <c r="S267" s="5" t="n">
        <v>0.6666666666666666</v>
      </c>
      <c r="T267" s="5" t="n">
        <v>0.5104166666666666</v>
      </c>
      <c r="U267" s="5" t="n">
        <v>0.5520833333333334</v>
      </c>
      <c r="V267" s="3">
        <f>IF(COUNT(T267:U267)=2,ROUND((U267-T267)*1440,0),0)</f>
        <v/>
      </c>
    </row>
    <row r="268">
      <c r="A268" s="2" t="inlineStr">
        <is>
          <t>21111110-0</t>
        </is>
      </c>
      <c r="B268" s="3" t="inlineStr">
        <is>
          <t>Activo</t>
        </is>
      </c>
      <c r="C268" s="3" t="inlineStr">
        <is>
          <t>JORGE REYES (EJEMPLO)</t>
        </is>
      </c>
      <c r="D268" s="3" t="inlineStr">
        <is>
          <t>EXAMEN Y PROCEDIMIENTOS</t>
        </is>
      </c>
      <c r="E268" s="4" t="n">
        <v>46323</v>
      </c>
      <c r="F268" s="3" t="inlineStr">
        <is>
          <t>Miércoles</t>
        </is>
      </c>
      <c r="G268" s="4" t="n">
        <v>46321</v>
      </c>
      <c r="H268" s="3" t="inlineStr">
        <is>
          <t>Mañana S/sábado</t>
        </is>
      </c>
      <c r="I268" s="3" t="inlineStr">
        <is>
          <t>TRABAJA</t>
        </is>
      </c>
      <c r="J268" s="5" t="n">
        <v>0.3333333333333333</v>
      </c>
      <c r="K268" s="5" t="n">
        <v>0.7291666666666666</v>
      </c>
      <c r="L268" s="5">
        <f>IF(COUNT(J268:K268)=2,K268-J268,0)</f>
        <v/>
      </c>
      <c r="M268" s="6">
        <f>L268*24</f>
        <v/>
      </c>
      <c r="N268" s="3" t="n">
        <v>60</v>
      </c>
      <c r="O268" s="6">
        <f>N268/60</f>
        <v/>
      </c>
      <c r="P268" s="6">
        <f>M268-O268</f>
        <v/>
      </c>
      <c r="Q268" s="6">
        <f>SUMIFS($P:$P,$A:$A,A268,$G:$G,G268)</f>
        <v/>
      </c>
      <c r="R268" s="5" t="n">
        <v>0.4479166666666667</v>
      </c>
      <c r="S268" s="5" t="n">
        <v>0.6770833333333334</v>
      </c>
      <c r="T268" s="5" t="n">
        <v>0.5520833333333334</v>
      </c>
      <c r="U268" s="5" t="n">
        <v>0.59375</v>
      </c>
      <c r="V268" s="3">
        <f>IF(COUNT(T268:U268)=2,ROUND((U268-T268)*1440,0),0)</f>
        <v/>
      </c>
    </row>
    <row r="269">
      <c r="A269" s="2" t="inlineStr">
        <is>
          <t>21111110-0</t>
        </is>
      </c>
      <c r="B269" s="3" t="inlineStr">
        <is>
          <t>Activo</t>
        </is>
      </c>
      <c r="C269" s="3" t="inlineStr">
        <is>
          <t>JORGE REYES (EJEMPLO)</t>
        </is>
      </c>
      <c r="D269" s="3" t="inlineStr">
        <is>
          <t>EXAMEN Y PROCEDIMIENTOS</t>
        </is>
      </c>
      <c r="E269" s="4" t="n">
        <v>46324</v>
      </c>
      <c r="F269" s="3" t="inlineStr">
        <is>
          <t>Jueves</t>
        </is>
      </c>
      <c r="G269" s="4" t="n">
        <v>46321</v>
      </c>
      <c r="H269" s="3" t="inlineStr">
        <is>
          <t>Mañana S/sábado</t>
        </is>
      </c>
      <c r="I269" s="3" t="inlineStr">
        <is>
          <t>TRABAJA</t>
        </is>
      </c>
      <c r="J269" s="5" t="n">
        <v>0.3333333333333333</v>
      </c>
      <c r="K269" s="5" t="n">
        <v>0.7291666666666666</v>
      </c>
      <c r="L269" s="5">
        <f>IF(COUNT(J269:K269)=2,K269-J269,0)</f>
        <v/>
      </c>
      <c r="M269" s="6">
        <f>L269*24</f>
        <v/>
      </c>
      <c r="N269" s="3" t="n">
        <v>60</v>
      </c>
      <c r="O269" s="6">
        <f>N269/60</f>
        <v/>
      </c>
      <c r="P269" s="6">
        <f>M269-O269</f>
        <v/>
      </c>
      <c r="Q269" s="6">
        <f>SUMIFS($P:$P,$A:$A,A269,$G:$G,G269)</f>
        <v/>
      </c>
      <c r="R269" s="5" t="n">
        <v>0.4479166666666667</v>
      </c>
      <c r="S269" s="5" t="n">
        <v>0.6979166666666666</v>
      </c>
      <c r="T269" s="5" t="n">
        <v>0.5729166666666666</v>
      </c>
      <c r="U269" s="5" t="n">
        <v>0.6145833333333334</v>
      </c>
      <c r="V269" s="3">
        <f>IF(COUNT(T269:U269)=2,ROUND((U269-T269)*1440,0),0)</f>
        <v/>
      </c>
    </row>
    <row r="270">
      <c r="A270" s="2" t="inlineStr">
        <is>
          <t>21111110-0</t>
        </is>
      </c>
      <c r="B270" s="3" t="inlineStr">
        <is>
          <t>Activo</t>
        </is>
      </c>
      <c r="C270" s="3" t="inlineStr">
        <is>
          <t>JORGE REYES (EJEMPLO)</t>
        </is>
      </c>
      <c r="D270" s="3" t="inlineStr">
        <is>
          <t>EXAMEN Y PROCEDIMIENTOS</t>
        </is>
      </c>
      <c r="E270" s="4" t="n">
        <v>46325</v>
      </c>
      <c r="F270" s="3" t="inlineStr">
        <is>
          <t>Viernes</t>
        </is>
      </c>
      <c r="G270" s="4" t="n">
        <v>46321</v>
      </c>
      <c r="H270" s="3" t="inlineStr">
        <is>
          <t>Mañana S/sábado</t>
        </is>
      </c>
      <c r="I270" s="3" t="inlineStr">
        <is>
          <t>TRABAJA</t>
        </is>
      </c>
      <c r="J270" s="5" t="n">
        <v>0.3333333333333333</v>
      </c>
      <c r="K270" s="5" t="n">
        <v>0.7083333333333334</v>
      </c>
      <c r="L270" s="5">
        <f>IF(COUNT(J270:K270)=2,K270-J270,0)</f>
        <v/>
      </c>
      <c r="M270" s="6">
        <f>L270*24</f>
        <v/>
      </c>
      <c r="N270" s="3" t="n">
        <v>60</v>
      </c>
      <c r="O270" s="6">
        <f>N270/60</f>
        <v/>
      </c>
      <c r="P270" s="6">
        <f>M270-O270</f>
        <v/>
      </c>
      <c r="Q270" s="6">
        <f>SUMIFS($P:$P,$A:$A,A270,$G:$G,G270)</f>
        <v/>
      </c>
      <c r="R270" s="5" t="n">
        <v>0.4270833333333333</v>
      </c>
      <c r="S270" s="5" t="n">
        <v>0.6770833333333334</v>
      </c>
      <c r="T270" s="5" t="n">
        <v>0.5520833333333334</v>
      </c>
      <c r="U270" s="5" t="n">
        <v>0.59375</v>
      </c>
      <c r="V270" s="3">
        <f>IF(COUNT(T270:U270)=2,ROUND((U270-T270)*1440,0),0)</f>
        <v/>
      </c>
    </row>
    <row r="271">
      <c r="A271" s="2" t="inlineStr">
        <is>
          <t>21111110-0</t>
        </is>
      </c>
      <c r="B271" s="3" t="inlineStr">
        <is>
          <t>Activo</t>
        </is>
      </c>
      <c r="C271" s="3" t="inlineStr">
        <is>
          <t>JORGE REYES (EJEMPLO)</t>
        </is>
      </c>
      <c r="D271" s="3" t="inlineStr">
        <is>
          <t>EXAMEN Y PROCEDIMIENTOS</t>
        </is>
      </c>
      <c r="E271" s="4" t="n">
        <v>46326</v>
      </c>
      <c r="F271" s="3" t="inlineStr">
        <is>
          <t>Sábado</t>
        </is>
      </c>
      <c r="G271" s="4" t="n">
        <v>46321</v>
      </c>
      <c r="H271" s="3" t="inlineStr">
        <is>
          <t>Mañana S/sábado</t>
        </is>
      </c>
      <c r="I271" s="3" t="inlineStr">
        <is>
          <t>FERIADO</t>
        </is>
      </c>
      <c r="J271" s="5" t="n"/>
      <c r="K271" s="5" t="n"/>
      <c r="L271" s="5">
        <f>IF(COUNT(J271:K271)=2,K271-J271,0)</f>
        <v/>
      </c>
      <c r="M271" s="6">
        <f>L271*24</f>
        <v/>
      </c>
      <c r="N271" s="3" t="n">
        <v>0</v>
      </c>
      <c r="O271" s="6">
        <f>N271/60</f>
        <v/>
      </c>
      <c r="P271" s="6">
        <f>M271-O271</f>
        <v/>
      </c>
      <c r="Q271" s="6">
        <f>SUMIFS($P:$P,$A:$A,A271,$G:$G,G271)</f>
        <v/>
      </c>
      <c r="R271" s="5" t="n"/>
      <c r="S271" s="5" t="n"/>
      <c r="T271" s="5" t="n"/>
      <c r="U271" s="5" t="n"/>
      <c r="V271" s="3">
        <f>IF(COUNT(T271:U271)=2,ROUND((U271-T271)*1440,0),0)</f>
        <v/>
      </c>
    </row>
    <row r="272">
      <c r="A272" s="2" t="inlineStr">
        <is>
          <t>22222221-4</t>
        </is>
      </c>
      <c r="B272" s="3" t="inlineStr">
        <is>
          <t>Activo</t>
        </is>
      </c>
      <c r="C272" s="3" t="inlineStr">
        <is>
          <t>KAREN SILVA (EJEMPLO)</t>
        </is>
      </c>
      <c r="D272" s="3" t="inlineStr">
        <is>
          <t>EXAMEN Y PROCEDIMIENTOS</t>
        </is>
      </c>
      <c r="E272" s="4" t="n">
        <v>46296</v>
      </c>
      <c r="F272" s="3" t="inlineStr">
        <is>
          <t>Jueves</t>
        </is>
      </c>
      <c r="G272" s="4" t="n">
        <v>46293</v>
      </c>
      <c r="H272" s="3" t="inlineStr">
        <is>
          <t>Intermedio S/sábado</t>
        </is>
      </c>
      <c r="I272" s="3" t="inlineStr">
        <is>
          <t>TRABAJA</t>
        </is>
      </c>
      <c r="J272" s="5" t="n">
        <v>0.375</v>
      </c>
      <c r="K272" s="5" t="n">
        <v>0.75</v>
      </c>
      <c r="L272" s="5">
        <f>IF(COUNT(J272:K272)=2,K272-J272,0)</f>
        <v/>
      </c>
      <c r="M272" s="6">
        <f>L272*24</f>
        <v/>
      </c>
      <c r="N272" s="3" t="n">
        <v>60</v>
      </c>
      <c r="O272" s="6">
        <f>N272/60</f>
        <v/>
      </c>
      <c r="P272" s="6">
        <f>M272-O272</f>
        <v/>
      </c>
      <c r="Q272" s="6">
        <f>SUMIFS($P:$P,$A:$A,A272,$G:$G,G272)</f>
        <v/>
      </c>
      <c r="R272" s="5" t="n">
        <v>0.46875</v>
      </c>
      <c r="S272" s="5" t="n">
        <v>0.7083333333333334</v>
      </c>
      <c r="T272" s="5" t="n">
        <v>0.5520833333333334</v>
      </c>
      <c r="U272" s="5" t="n">
        <v>0.59375</v>
      </c>
      <c r="V272" s="3">
        <f>IF(COUNT(T272:U272)=2,ROUND((U272-T272)*1440,0),0)</f>
        <v/>
      </c>
    </row>
    <row r="273">
      <c r="A273" s="2" t="inlineStr">
        <is>
          <t>22222221-4</t>
        </is>
      </c>
      <c r="B273" s="3" t="inlineStr">
        <is>
          <t>Activo</t>
        </is>
      </c>
      <c r="C273" s="3" t="inlineStr">
        <is>
          <t>KAREN SILVA (EJEMPLO)</t>
        </is>
      </c>
      <c r="D273" s="3" t="inlineStr">
        <is>
          <t>EXAMEN Y PROCEDIMIENTOS</t>
        </is>
      </c>
      <c r="E273" s="4" t="n">
        <v>46297</v>
      </c>
      <c r="F273" s="3" t="inlineStr">
        <is>
          <t>Viernes</t>
        </is>
      </c>
      <c r="G273" s="4" t="n">
        <v>46293</v>
      </c>
      <c r="H273" s="3" t="inlineStr">
        <is>
          <t>Intermedio S/sábado</t>
        </is>
      </c>
      <c r="I273" s="3" t="inlineStr">
        <is>
          <t>TRABAJA</t>
        </is>
      </c>
      <c r="J273" s="5" t="n">
        <v>0.375</v>
      </c>
      <c r="K273" s="5" t="n">
        <v>0.75</v>
      </c>
      <c r="L273" s="5">
        <f>IF(COUNT(J273:K273)=2,K273-J273,0)</f>
        <v/>
      </c>
      <c r="M273" s="6">
        <f>L273*24</f>
        <v/>
      </c>
      <c r="N273" s="3" t="n">
        <v>60</v>
      </c>
      <c r="O273" s="6">
        <f>N273/60</f>
        <v/>
      </c>
      <c r="P273" s="6">
        <f>M273-O273</f>
        <v/>
      </c>
      <c r="Q273" s="6">
        <f>SUMIFS($P:$P,$A:$A,A273,$G:$G,G273)</f>
        <v/>
      </c>
      <c r="R273" s="5" t="n">
        <v>0.46875</v>
      </c>
      <c r="S273" s="5" t="n">
        <v>0.71875</v>
      </c>
      <c r="T273" s="5" t="n">
        <v>0.59375</v>
      </c>
      <c r="U273" s="5" t="n">
        <v>0.6354166666666666</v>
      </c>
      <c r="V273" s="3">
        <f>IF(COUNT(T273:U273)=2,ROUND((U273-T273)*1440,0),0)</f>
        <v/>
      </c>
    </row>
    <row r="274">
      <c r="A274" s="2" t="inlineStr">
        <is>
          <t>22222221-4</t>
        </is>
      </c>
      <c r="B274" s="3" t="inlineStr">
        <is>
          <t>Activo</t>
        </is>
      </c>
      <c r="C274" s="3" t="inlineStr">
        <is>
          <t>KAREN SILVA (EJEMPLO)</t>
        </is>
      </c>
      <c r="D274" s="3" t="inlineStr">
        <is>
          <t>EXAMEN Y PROCEDIMIENTOS</t>
        </is>
      </c>
      <c r="E274" s="4" t="n">
        <v>46298</v>
      </c>
      <c r="F274" s="3" t="inlineStr">
        <is>
          <t>Sábado</t>
        </is>
      </c>
      <c r="G274" s="4" t="n">
        <v>46293</v>
      </c>
      <c r="H274" s="3" t="inlineStr">
        <is>
          <t>Intermedio S/sábado</t>
        </is>
      </c>
      <c r="I274" s="3" t="inlineStr">
        <is>
          <t>LIBRE</t>
        </is>
      </c>
      <c r="J274" s="5" t="n"/>
      <c r="K274" s="5" t="n"/>
      <c r="L274" s="5">
        <f>IF(COUNT(J274:K274)=2,K274-J274,0)</f>
        <v/>
      </c>
      <c r="M274" s="6">
        <f>L274*24</f>
        <v/>
      </c>
      <c r="N274" s="3" t="n">
        <v>0</v>
      </c>
      <c r="O274" s="6">
        <f>N274/60</f>
        <v/>
      </c>
      <c r="P274" s="6">
        <f>M274-O274</f>
        <v/>
      </c>
      <c r="Q274" s="6">
        <f>SUMIFS($P:$P,$A:$A,A274,$G:$G,G274)</f>
        <v/>
      </c>
      <c r="R274" s="5" t="n"/>
      <c r="S274" s="5" t="n"/>
      <c r="T274" s="5" t="n"/>
      <c r="U274" s="5" t="n"/>
      <c r="V274" s="3">
        <f>IF(COUNT(T274:U274)=2,ROUND((U274-T274)*1440,0),0)</f>
        <v/>
      </c>
    </row>
    <row r="275">
      <c r="A275" s="2" t="inlineStr">
        <is>
          <t>22222221-4</t>
        </is>
      </c>
      <c r="B275" s="3" t="inlineStr">
        <is>
          <t>Activo</t>
        </is>
      </c>
      <c r="C275" s="3" t="inlineStr">
        <is>
          <t>KAREN SILVA (EJEMPLO)</t>
        </is>
      </c>
      <c r="D275" s="3" t="inlineStr">
        <is>
          <t>EXAMEN Y PROCEDIMIENTOS</t>
        </is>
      </c>
      <c r="E275" s="4" t="n">
        <v>46300</v>
      </c>
      <c r="F275" s="3" t="inlineStr">
        <is>
          <t>Lunes</t>
        </is>
      </c>
      <c r="G275" s="4" t="n">
        <v>46300</v>
      </c>
      <c r="H275" s="3" t="inlineStr">
        <is>
          <t>Intermedio S/sábado</t>
        </is>
      </c>
      <c r="I275" s="3" t="inlineStr">
        <is>
          <t>TRABAJA</t>
        </is>
      </c>
      <c r="J275" s="5" t="n">
        <v>0.375</v>
      </c>
      <c r="K275" s="5" t="n">
        <v>0.7916666666666666</v>
      </c>
      <c r="L275" s="5">
        <f>IF(COUNT(J275:K275)=2,K275-J275,0)</f>
        <v/>
      </c>
      <c r="M275" s="6">
        <f>L275*24</f>
        <v/>
      </c>
      <c r="N275" s="3" t="n">
        <v>60</v>
      </c>
      <c r="O275" s="6">
        <f>N275/60</f>
        <v/>
      </c>
      <c r="P275" s="6">
        <f>M275-O275</f>
        <v/>
      </c>
      <c r="Q275" s="6">
        <f>SUMIFS($P:$P,$A:$A,A275,$G:$G,G275)</f>
        <v/>
      </c>
      <c r="R275" s="5" t="n">
        <v>0.4895833333333333</v>
      </c>
      <c r="S275" s="5" t="n">
        <v>0.75</v>
      </c>
      <c r="T275" s="5" t="n">
        <v>0.625</v>
      </c>
      <c r="U275" s="5" t="n">
        <v>0.6666666666666666</v>
      </c>
      <c r="V275" s="3">
        <f>IF(COUNT(T275:U275)=2,ROUND((U275-T275)*1440,0),0)</f>
        <v/>
      </c>
    </row>
    <row r="276">
      <c r="A276" s="2" t="inlineStr">
        <is>
          <t>22222221-4</t>
        </is>
      </c>
      <c r="B276" s="3" t="inlineStr">
        <is>
          <t>Activo</t>
        </is>
      </c>
      <c r="C276" s="3" t="inlineStr">
        <is>
          <t>KAREN SILVA (EJEMPLO)</t>
        </is>
      </c>
      <c r="D276" s="3" t="inlineStr">
        <is>
          <t>EXAMEN Y PROCEDIMIENTOS</t>
        </is>
      </c>
      <c r="E276" s="4" t="n">
        <v>46301</v>
      </c>
      <c r="F276" s="3" t="inlineStr">
        <is>
          <t>Martes</t>
        </is>
      </c>
      <c r="G276" s="4" t="n">
        <v>46300</v>
      </c>
      <c r="H276" s="3" t="inlineStr">
        <is>
          <t>Intermedio S/sábado</t>
        </is>
      </c>
      <c r="I276" s="3" t="inlineStr">
        <is>
          <t>TRABAJA</t>
        </is>
      </c>
      <c r="J276" s="5" t="n">
        <v>0.375</v>
      </c>
      <c r="K276" s="5" t="n">
        <v>0.7916666666666666</v>
      </c>
      <c r="L276" s="5">
        <f>IF(COUNT(J276:K276)=2,K276-J276,0)</f>
        <v/>
      </c>
      <c r="M276" s="6">
        <f>L276*24</f>
        <v/>
      </c>
      <c r="N276" s="3" t="n">
        <v>60</v>
      </c>
      <c r="O276" s="6">
        <f>N276/60</f>
        <v/>
      </c>
      <c r="P276" s="6">
        <f>M276-O276</f>
        <v/>
      </c>
      <c r="Q276" s="6">
        <f>SUMIFS($P:$P,$A:$A,A276,$G:$G,G276)</f>
        <v/>
      </c>
      <c r="R276" s="5" t="n">
        <v>0.4895833333333333</v>
      </c>
      <c r="S276" s="5" t="n">
        <v>0.75</v>
      </c>
      <c r="T276" s="5" t="n">
        <v>0.625</v>
      </c>
      <c r="U276" s="5" t="n">
        <v>0.6666666666666666</v>
      </c>
      <c r="V276" s="3">
        <f>IF(COUNT(T276:U276)=2,ROUND((U276-T276)*1440,0),0)</f>
        <v/>
      </c>
    </row>
    <row r="277">
      <c r="A277" s="2" t="inlineStr">
        <is>
          <t>22222221-4</t>
        </is>
      </c>
      <c r="B277" s="3" t="inlineStr">
        <is>
          <t>Activo</t>
        </is>
      </c>
      <c r="C277" s="3" t="inlineStr">
        <is>
          <t>KAREN SILVA (EJEMPLO)</t>
        </is>
      </c>
      <c r="D277" s="3" t="inlineStr">
        <is>
          <t>EXAMEN Y PROCEDIMIENTOS</t>
        </is>
      </c>
      <c r="E277" s="4" t="n">
        <v>46302</v>
      </c>
      <c r="F277" s="3" t="inlineStr">
        <is>
          <t>Miércoles</t>
        </is>
      </c>
      <c r="G277" s="4" t="n">
        <v>46300</v>
      </c>
      <c r="H277" s="3" t="inlineStr">
        <is>
          <t>Intermedio S/sábado</t>
        </is>
      </c>
      <c r="I277" s="3" t="inlineStr">
        <is>
          <t>TRABAJA</t>
        </is>
      </c>
      <c r="J277" s="5" t="n">
        <v>0.375</v>
      </c>
      <c r="K277" s="5" t="n">
        <v>0.75</v>
      </c>
      <c r="L277" s="5">
        <f>IF(COUNT(J277:K277)=2,K277-J277,0)</f>
        <v/>
      </c>
      <c r="M277" s="6">
        <f>L277*24</f>
        <v/>
      </c>
      <c r="N277" s="3" t="n">
        <v>60</v>
      </c>
      <c r="O277" s="6">
        <f>N277/60</f>
        <v/>
      </c>
      <c r="P277" s="6">
        <f>M277-O277</f>
        <v/>
      </c>
      <c r="Q277" s="6">
        <f>SUMIFS($P:$P,$A:$A,A277,$G:$G,G277)</f>
        <v/>
      </c>
      <c r="R277" s="5" t="n">
        <v>0.46875</v>
      </c>
      <c r="S277" s="5" t="n">
        <v>0.71875</v>
      </c>
      <c r="T277" s="5" t="n">
        <v>0.59375</v>
      </c>
      <c r="U277" s="5" t="n">
        <v>0.6354166666666666</v>
      </c>
      <c r="V277" s="3">
        <f>IF(COUNT(T277:U277)=2,ROUND((U277-T277)*1440,0),0)</f>
        <v/>
      </c>
    </row>
    <row r="278">
      <c r="A278" s="2" t="inlineStr">
        <is>
          <t>22222221-4</t>
        </is>
      </c>
      <c r="B278" s="3" t="inlineStr">
        <is>
          <t>Activo</t>
        </is>
      </c>
      <c r="C278" s="3" t="inlineStr">
        <is>
          <t>KAREN SILVA (EJEMPLO)</t>
        </is>
      </c>
      <c r="D278" s="3" t="inlineStr">
        <is>
          <t>EXAMEN Y PROCEDIMIENTOS</t>
        </is>
      </c>
      <c r="E278" s="4" t="n">
        <v>46303</v>
      </c>
      <c r="F278" s="3" t="inlineStr">
        <is>
          <t>Jueves</t>
        </is>
      </c>
      <c r="G278" s="4" t="n">
        <v>46300</v>
      </c>
      <c r="H278" s="3" t="inlineStr">
        <is>
          <t>Intermedio S/sábado</t>
        </is>
      </c>
      <c r="I278" s="3" t="inlineStr">
        <is>
          <t>TRABAJA</t>
        </is>
      </c>
      <c r="J278" s="5" t="n">
        <v>0.375</v>
      </c>
      <c r="K278" s="5" t="n">
        <v>0.75</v>
      </c>
      <c r="L278" s="5">
        <f>IF(COUNT(J278:K278)=2,K278-J278,0)</f>
        <v/>
      </c>
      <c r="M278" s="6">
        <f>L278*24</f>
        <v/>
      </c>
      <c r="N278" s="3" t="n">
        <v>60</v>
      </c>
      <c r="O278" s="6">
        <f>N278/60</f>
        <v/>
      </c>
      <c r="P278" s="6">
        <f>M278-O278</f>
        <v/>
      </c>
      <c r="Q278" s="6">
        <f>SUMIFS($P:$P,$A:$A,A278,$G:$G,G278)</f>
        <v/>
      </c>
      <c r="R278" s="5" t="n">
        <v>0.46875</v>
      </c>
      <c r="S278" s="5" t="n">
        <v>0.6458333333333334</v>
      </c>
      <c r="T278" s="5" t="n">
        <v>0.5208333333333334</v>
      </c>
      <c r="U278" s="5" t="n">
        <v>0.5625</v>
      </c>
      <c r="V278" s="3">
        <f>IF(COUNT(T278:U278)=2,ROUND((U278-T278)*1440,0),0)</f>
        <v/>
      </c>
    </row>
    <row r="279">
      <c r="A279" s="2" t="inlineStr">
        <is>
          <t>22222221-4</t>
        </is>
      </c>
      <c r="B279" s="3" t="inlineStr">
        <is>
          <t>Activo</t>
        </is>
      </c>
      <c r="C279" s="3" t="inlineStr">
        <is>
          <t>KAREN SILVA (EJEMPLO)</t>
        </is>
      </c>
      <c r="D279" s="3" t="inlineStr">
        <is>
          <t>EXAMEN Y PROCEDIMIENTOS</t>
        </is>
      </c>
      <c r="E279" s="4" t="n">
        <v>46304</v>
      </c>
      <c r="F279" s="3" t="inlineStr">
        <is>
          <t>Viernes</t>
        </is>
      </c>
      <c r="G279" s="4" t="n">
        <v>46300</v>
      </c>
      <c r="H279" s="3" t="inlineStr">
        <is>
          <t>Intermedio S/sábado</t>
        </is>
      </c>
      <c r="I279" s="3" t="inlineStr">
        <is>
          <t>TRABAJA</t>
        </is>
      </c>
      <c r="J279" s="5" t="n">
        <v>0.375</v>
      </c>
      <c r="K279" s="5" t="n">
        <v>0.75</v>
      </c>
      <c r="L279" s="5">
        <f>IF(COUNT(J279:K279)=2,K279-J279,0)</f>
        <v/>
      </c>
      <c r="M279" s="6">
        <f>L279*24</f>
        <v/>
      </c>
      <c r="N279" s="3" t="n">
        <v>60</v>
      </c>
      <c r="O279" s="6">
        <f>N279/60</f>
        <v/>
      </c>
      <c r="P279" s="6">
        <f>M279-O279</f>
        <v/>
      </c>
      <c r="Q279" s="6">
        <f>SUMIFS($P:$P,$A:$A,A279,$G:$G,G279)</f>
        <v/>
      </c>
      <c r="R279" s="5" t="n">
        <v>0.46875</v>
      </c>
      <c r="S279" s="5" t="n">
        <v>0.71875</v>
      </c>
      <c r="T279" s="5" t="n">
        <v>0.59375</v>
      </c>
      <c r="U279" s="5" t="n">
        <v>0.6354166666666666</v>
      </c>
      <c r="V279" s="3">
        <f>IF(COUNT(T279:U279)=2,ROUND((U279-T279)*1440,0),0)</f>
        <v/>
      </c>
    </row>
    <row r="280">
      <c r="A280" s="2" t="inlineStr">
        <is>
          <t>22222221-4</t>
        </is>
      </c>
      <c r="B280" s="3" t="inlineStr">
        <is>
          <t>Activo</t>
        </is>
      </c>
      <c r="C280" s="3" t="inlineStr">
        <is>
          <t>KAREN SILVA (EJEMPLO)</t>
        </is>
      </c>
      <c r="D280" s="3" t="inlineStr">
        <is>
          <t>EXAMEN Y PROCEDIMIENTOS</t>
        </is>
      </c>
      <c r="E280" s="4" t="n">
        <v>46305</v>
      </c>
      <c r="F280" s="3" t="inlineStr">
        <is>
          <t>Sábado</t>
        </is>
      </c>
      <c r="G280" s="4" t="n">
        <v>46300</v>
      </c>
      <c r="H280" s="3" t="inlineStr">
        <is>
          <t>Intermedio S/sábado</t>
        </is>
      </c>
      <c r="I280" s="3" t="inlineStr">
        <is>
          <t>LIBRE</t>
        </is>
      </c>
      <c r="J280" s="5" t="n"/>
      <c r="K280" s="5" t="n"/>
      <c r="L280" s="5">
        <f>IF(COUNT(J280:K280)=2,K280-J280,0)</f>
        <v/>
      </c>
      <c r="M280" s="6">
        <f>L280*24</f>
        <v/>
      </c>
      <c r="N280" s="3" t="n">
        <v>0</v>
      </c>
      <c r="O280" s="6">
        <f>N280/60</f>
        <v/>
      </c>
      <c r="P280" s="6">
        <f>M280-O280</f>
        <v/>
      </c>
      <c r="Q280" s="6">
        <f>SUMIFS($P:$P,$A:$A,A280,$G:$G,G280)</f>
        <v/>
      </c>
      <c r="R280" s="5" t="n"/>
      <c r="S280" s="5" t="n"/>
      <c r="T280" s="5" t="n"/>
      <c r="U280" s="5" t="n"/>
      <c r="V280" s="3">
        <f>IF(COUNT(T280:U280)=2,ROUND((U280-T280)*1440,0),0)</f>
        <v/>
      </c>
    </row>
    <row r="281">
      <c r="A281" s="2" t="inlineStr">
        <is>
          <t>22222221-4</t>
        </is>
      </c>
      <c r="B281" s="3" t="inlineStr">
        <is>
          <t>Activo</t>
        </is>
      </c>
      <c r="C281" s="3" t="inlineStr">
        <is>
          <t>KAREN SILVA (EJEMPLO)</t>
        </is>
      </c>
      <c r="D281" s="3" t="inlineStr">
        <is>
          <t>EXAMEN Y PROCEDIMIENTOS</t>
        </is>
      </c>
      <c r="E281" s="4" t="n">
        <v>46307</v>
      </c>
      <c r="F281" s="3" t="inlineStr">
        <is>
          <t>Lunes</t>
        </is>
      </c>
      <c r="G281" s="4" t="n">
        <v>46307</v>
      </c>
      <c r="H281" s="3" t="inlineStr">
        <is>
          <t>Mañana C/sábado</t>
        </is>
      </c>
      <c r="I281" s="3" t="inlineStr">
        <is>
          <t>FERIADO</t>
        </is>
      </c>
      <c r="J281" s="5" t="n"/>
      <c r="K281" s="5" t="n"/>
      <c r="L281" s="5">
        <f>IF(COUNT(J281:K281)=2,K281-J281,0)</f>
        <v/>
      </c>
      <c r="M281" s="6">
        <f>L281*24</f>
        <v/>
      </c>
      <c r="N281" s="3" t="n">
        <v>0</v>
      </c>
      <c r="O281" s="6">
        <f>N281/60</f>
        <v/>
      </c>
      <c r="P281" s="6">
        <f>M281-O281</f>
        <v/>
      </c>
      <c r="Q281" s="6">
        <f>SUMIFS($P:$P,$A:$A,A281,$G:$G,G281)</f>
        <v/>
      </c>
      <c r="R281" s="5" t="n"/>
      <c r="S281" s="5" t="n"/>
      <c r="T281" s="5" t="n"/>
      <c r="U281" s="5" t="n"/>
      <c r="V281" s="3">
        <f>IF(COUNT(T281:U281)=2,ROUND((U281-T281)*1440,0),0)</f>
        <v/>
      </c>
    </row>
    <row r="282">
      <c r="A282" s="2" t="inlineStr">
        <is>
          <t>22222221-4</t>
        </is>
      </c>
      <c r="B282" s="3" t="inlineStr">
        <is>
          <t>Activo</t>
        </is>
      </c>
      <c r="C282" s="3" t="inlineStr">
        <is>
          <t>KAREN SILVA (EJEMPLO)</t>
        </is>
      </c>
      <c r="D282" s="3" t="inlineStr">
        <is>
          <t>EXAMEN Y PROCEDIMIENTOS</t>
        </is>
      </c>
      <c r="E282" s="4" t="n">
        <v>46308</v>
      </c>
      <c r="F282" s="3" t="inlineStr">
        <is>
          <t>Martes</t>
        </is>
      </c>
      <c r="G282" s="4" t="n">
        <v>46307</v>
      </c>
      <c r="H282" s="3" t="inlineStr">
        <is>
          <t>Mañana C/sábado</t>
        </is>
      </c>
      <c r="I282" s="3" t="inlineStr">
        <is>
          <t>TRABAJA</t>
        </is>
      </c>
      <c r="J282" s="5" t="n">
        <v>0.3333333333333333</v>
      </c>
      <c r="K282" s="5" t="n">
        <v>0.6875</v>
      </c>
      <c r="L282" s="5">
        <f>IF(COUNT(J282:K282)=2,K282-J282,0)</f>
        <v/>
      </c>
      <c r="M282" s="6">
        <f>L282*24</f>
        <v/>
      </c>
      <c r="N282" s="3" t="n">
        <v>60</v>
      </c>
      <c r="O282" s="6">
        <f>N282/60</f>
        <v/>
      </c>
      <c r="P282" s="6">
        <f>M282-O282</f>
        <v/>
      </c>
      <c r="Q282" s="6">
        <f>SUMIFS($P:$P,$A:$A,A282,$G:$G,G282)</f>
        <v/>
      </c>
      <c r="R282" s="5" t="n">
        <v>0.4375</v>
      </c>
      <c r="S282" s="5" t="n">
        <v>0.65625</v>
      </c>
      <c r="T282" s="5" t="n">
        <v>0.5104166666666666</v>
      </c>
      <c r="U282" s="5" t="n">
        <v>0.5520833333333334</v>
      </c>
      <c r="V282" s="3">
        <f>IF(COUNT(T282:U282)=2,ROUND((U282-T282)*1440,0),0)</f>
        <v/>
      </c>
    </row>
    <row r="283">
      <c r="A283" s="2" t="inlineStr">
        <is>
          <t>22222221-4</t>
        </is>
      </c>
      <c r="B283" s="3" t="inlineStr">
        <is>
          <t>Activo</t>
        </is>
      </c>
      <c r="C283" s="3" t="inlineStr">
        <is>
          <t>KAREN SILVA (EJEMPLO)</t>
        </is>
      </c>
      <c r="D283" s="3" t="inlineStr">
        <is>
          <t>EXAMEN Y PROCEDIMIENTOS</t>
        </is>
      </c>
      <c r="E283" s="4" t="n">
        <v>46309</v>
      </c>
      <c r="F283" s="3" t="inlineStr">
        <is>
          <t>Miércoles</t>
        </is>
      </c>
      <c r="G283" s="4" t="n">
        <v>46307</v>
      </c>
      <c r="H283" s="3" t="inlineStr">
        <is>
          <t>Mañana C/sábado</t>
        </is>
      </c>
      <c r="I283" s="3" t="inlineStr">
        <is>
          <t>TRABAJA</t>
        </is>
      </c>
      <c r="J283" s="5" t="n">
        <v>0.3333333333333333</v>
      </c>
      <c r="K283" s="5" t="n">
        <v>0.6875</v>
      </c>
      <c r="L283" s="5">
        <f>IF(COUNT(J283:K283)=2,K283-J283,0)</f>
        <v/>
      </c>
      <c r="M283" s="6">
        <f>L283*24</f>
        <v/>
      </c>
      <c r="N283" s="3" t="n">
        <v>60</v>
      </c>
      <c r="O283" s="6">
        <f>N283/60</f>
        <v/>
      </c>
      <c r="P283" s="6">
        <f>M283-O283</f>
        <v/>
      </c>
      <c r="Q283" s="6">
        <f>SUMIFS($P:$P,$A:$A,A283,$G:$G,G283)</f>
        <v/>
      </c>
      <c r="R283" s="5" t="n">
        <v>0.4375</v>
      </c>
      <c r="S283" s="5" t="n">
        <v>0.65625</v>
      </c>
      <c r="T283" s="5" t="n">
        <v>0.53125</v>
      </c>
      <c r="U283" s="5" t="n">
        <v>0.5729166666666666</v>
      </c>
      <c r="V283" s="3">
        <f>IF(COUNT(T283:U283)=2,ROUND((U283-T283)*1440,0),0)</f>
        <v/>
      </c>
    </row>
    <row r="284">
      <c r="A284" s="2" t="inlineStr">
        <is>
          <t>22222221-4</t>
        </is>
      </c>
      <c r="B284" s="3" t="inlineStr">
        <is>
          <t>Activo</t>
        </is>
      </c>
      <c r="C284" s="3" t="inlineStr">
        <is>
          <t>KAREN SILVA (EJEMPLO)</t>
        </is>
      </c>
      <c r="D284" s="3" t="inlineStr">
        <is>
          <t>EXAMEN Y PROCEDIMIENTOS</t>
        </is>
      </c>
      <c r="E284" s="4" t="n">
        <v>46310</v>
      </c>
      <c r="F284" s="3" t="inlineStr">
        <is>
          <t>Jueves</t>
        </is>
      </c>
      <c r="G284" s="4" t="n">
        <v>46307</v>
      </c>
      <c r="H284" s="3" t="inlineStr">
        <is>
          <t>Mañana C/sábado</t>
        </is>
      </c>
      <c r="I284" s="3" t="inlineStr">
        <is>
          <t>TRABAJA</t>
        </is>
      </c>
      <c r="J284" s="5" t="n">
        <v>0.3333333333333333</v>
      </c>
      <c r="K284" s="5" t="n">
        <v>0.6666666666666666</v>
      </c>
      <c r="L284" s="5">
        <f>IF(COUNT(J284:K284)=2,K284-J284,0)</f>
        <v/>
      </c>
      <c r="M284" s="6">
        <f>L284*24</f>
        <v/>
      </c>
      <c r="N284" s="3" t="n">
        <v>60</v>
      </c>
      <c r="O284" s="6">
        <f>N284/60</f>
        <v/>
      </c>
      <c r="P284" s="6">
        <f>M284-O284</f>
        <v/>
      </c>
      <c r="Q284" s="6">
        <f>SUMIFS($P:$P,$A:$A,A284,$G:$G,G284)</f>
        <v/>
      </c>
      <c r="R284" s="5" t="n">
        <v>0.4375</v>
      </c>
      <c r="S284" s="5" t="n">
        <v>0.6145833333333334</v>
      </c>
      <c r="T284" s="5" t="n">
        <v>0.4895833333333333</v>
      </c>
      <c r="U284" s="5" t="n">
        <v>0.53125</v>
      </c>
      <c r="V284" s="3">
        <f>IF(COUNT(T284:U284)=2,ROUND((U284-T284)*1440,0),0)</f>
        <v/>
      </c>
    </row>
    <row r="285">
      <c r="A285" s="2" t="inlineStr">
        <is>
          <t>22222221-4</t>
        </is>
      </c>
      <c r="B285" s="3" t="inlineStr">
        <is>
          <t>Activo</t>
        </is>
      </c>
      <c r="C285" s="3" t="inlineStr">
        <is>
          <t>KAREN SILVA (EJEMPLO)</t>
        </is>
      </c>
      <c r="D285" s="3" t="inlineStr">
        <is>
          <t>EXAMEN Y PROCEDIMIENTOS</t>
        </is>
      </c>
      <c r="E285" s="4" t="n">
        <v>46311</v>
      </c>
      <c r="F285" s="3" t="inlineStr">
        <is>
          <t>Viernes</t>
        </is>
      </c>
      <c r="G285" s="4" t="n">
        <v>46307</v>
      </c>
      <c r="H285" s="3" t="inlineStr">
        <is>
          <t>Mañana C/sábado</t>
        </is>
      </c>
      <c r="I285" s="3" t="inlineStr">
        <is>
          <t>TRABAJA</t>
        </is>
      </c>
      <c r="J285" s="5" t="n">
        <v>0.3333333333333333</v>
      </c>
      <c r="K285" s="5" t="n">
        <v>0.6666666666666666</v>
      </c>
      <c r="L285" s="5">
        <f>IF(COUNT(J285:K285)=2,K285-J285,0)</f>
        <v/>
      </c>
      <c r="M285" s="6">
        <f>L285*24</f>
        <v/>
      </c>
      <c r="N285" s="3" t="n">
        <v>60</v>
      </c>
      <c r="O285" s="6">
        <f>N285/60</f>
        <v/>
      </c>
      <c r="P285" s="6">
        <f>M285-O285</f>
        <v/>
      </c>
      <c r="Q285" s="6">
        <f>SUMIFS($P:$P,$A:$A,A285,$G:$G,G285)</f>
        <v/>
      </c>
      <c r="R285" s="5" t="n">
        <v>0.4375</v>
      </c>
      <c r="S285" s="5" t="n">
        <v>0.6354166666666666</v>
      </c>
      <c r="T285" s="5" t="n">
        <v>0.5</v>
      </c>
      <c r="U285" s="5" t="n">
        <v>0.5416666666666666</v>
      </c>
      <c r="V285" s="3">
        <f>IF(COUNT(T285:U285)=2,ROUND((U285-T285)*1440,0),0)</f>
        <v/>
      </c>
    </row>
    <row r="286">
      <c r="A286" s="2" t="inlineStr">
        <is>
          <t>22222221-4</t>
        </is>
      </c>
      <c r="B286" s="3" t="inlineStr">
        <is>
          <t>Activo</t>
        </is>
      </c>
      <c r="C286" s="3" t="inlineStr">
        <is>
          <t>KAREN SILVA (EJEMPLO)</t>
        </is>
      </c>
      <c r="D286" s="3" t="inlineStr">
        <is>
          <t>EXAMEN Y PROCEDIMIENTOS</t>
        </is>
      </c>
      <c r="E286" s="4" t="n">
        <v>46312</v>
      </c>
      <c r="F286" s="3" t="inlineStr">
        <is>
          <t>Sábado</t>
        </is>
      </c>
      <c r="G286" s="4" t="n">
        <v>46307</v>
      </c>
      <c r="H286" s="3" t="inlineStr">
        <is>
          <t>Mañana C/sábado</t>
        </is>
      </c>
      <c r="I286" s="3" t="inlineStr">
        <is>
          <t>TRABAJA</t>
        </is>
      </c>
      <c r="J286" s="5" t="n">
        <v>0.3333333333333333</v>
      </c>
      <c r="K286" s="5" t="n">
        <v>0.5833333333333334</v>
      </c>
      <c r="L286" s="5">
        <f>IF(COUNT(J286:K286)=2,K286-J286,0)</f>
        <v/>
      </c>
      <c r="M286" s="6">
        <f>L286*24</f>
        <v/>
      </c>
      <c r="N286" s="3" t="n">
        <v>30</v>
      </c>
      <c r="O286" s="6">
        <f>N286/60</f>
        <v/>
      </c>
      <c r="P286" s="6">
        <f>M286-O286</f>
        <v/>
      </c>
      <c r="Q286" s="6">
        <f>SUMIFS($P:$P,$A:$A,A286,$G:$G,G286)</f>
        <v/>
      </c>
      <c r="R286" s="5" t="n"/>
      <c r="S286" s="5" t="n"/>
      <c r="T286" s="5" t="n">
        <v>0.4583333333333333</v>
      </c>
      <c r="U286" s="5" t="n">
        <v>0.4791666666666667</v>
      </c>
      <c r="V286" s="3">
        <f>IF(COUNT(T286:U286)=2,ROUND((U286-T286)*1440,0),0)</f>
        <v/>
      </c>
    </row>
    <row r="287">
      <c r="A287" s="2" t="inlineStr">
        <is>
          <t>22222221-4</t>
        </is>
      </c>
      <c r="B287" s="3" t="inlineStr">
        <is>
          <t>Activo</t>
        </is>
      </c>
      <c r="C287" s="3" t="inlineStr">
        <is>
          <t>KAREN SILVA (EJEMPLO)</t>
        </is>
      </c>
      <c r="D287" s="3" t="inlineStr">
        <is>
          <t>EXAMEN Y PROCEDIMIENTOS</t>
        </is>
      </c>
      <c r="E287" s="4" t="n">
        <v>46314</v>
      </c>
      <c r="F287" s="3" t="inlineStr">
        <is>
          <t>Lunes</t>
        </is>
      </c>
      <c r="G287" s="4" t="n">
        <v>46314</v>
      </c>
      <c r="H287" s="3" t="inlineStr">
        <is>
          <t>Tarde S/sábado</t>
        </is>
      </c>
      <c r="I287" s="3" t="inlineStr">
        <is>
          <t>TRABAJA</t>
        </is>
      </c>
      <c r="J287" s="5" t="n">
        <v>0.4375</v>
      </c>
      <c r="K287" s="5" t="n">
        <v>0.8333333333333334</v>
      </c>
      <c r="L287" s="5">
        <f>IF(COUNT(J287:K287)=2,K287-J287,0)</f>
        <v/>
      </c>
      <c r="M287" s="6">
        <f>L287*24</f>
        <v/>
      </c>
      <c r="N287" s="3" t="n">
        <v>60</v>
      </c>
      <c r="O287" s="6">
        <f>N287/60</f>
        <v/>
      </c>
      <c r="P287" s="6">
        <f>M287-O287</f>
        <v/>
      </c>
      <c r="Q287" s="6">
        <f>SUMIFS($P:$P,$A:$A,A287,$G:$G,G287)</f>
        <v/>
      </c>
      <c r="R287" s="5" t="n">
        <v>0.5208333333333334</v>
      </c>
      <c r="S287" s="5" t="n">
        <v>0.78125</v>
      </c>
      <c r="T287" s="5" t="n">
        <v>0.65625</v>
      </c>
      <c r="U287" s="5" t="n">
        <v>0.6979166666666666</v>
      </c>
      <c r="V287" s="3">
        <f>IF(COUNT(T287:U287)=2,ROUND((U287-T287)*1440,0),0)</f>
        <v/>
      </c>
    </row>
    <row r="288">
      <c r="A288" s="2" t="inlineStr">
        <is>
          <t>22222221-4</t>
        </is>
      </c>
      <c r="B288" s="3" t="inlineStr">
        <is>
          <t>Activo</t>
        </is>
      </c>
      <c r="C288" s="3" t="inlineStr">
        <is>
          <t>KAREN SILVA (EJEMPLO)</t>
        </is>
      </c>
      <c r="D288" s="3" t="inlineStr">
        <is>
          <t>EXAMEN Y PROCEDIMIENTOS</t>
        </is>
      </c>
      <c r="E288" s="4" t="n">
        <v>46315</v>
      </c>
      <c r="F288" s="3" t="inlineStr">
        <is>
          <t>Martes</t>
        </is>
      </c>
      <c r="G288" s="4" t="n">
        <v>46314</v>
      </c>
      <c r="H288" s="3" t="inlineStr">
        <is>
          <t>Tarde S/sábado</t>
        </is>
      </c>
      <c r="I288" s="3" t="inlineStr">
        <is>
          <t>TRABAJA</t>
        </is>
      </c>
      <c r="J288" s="5" t="n">
        <v>0.4375</v>
      </c>
      <c r="K288" s="5" t="n">
        <v>0.8333333333333334</v>
      </c>
      <c r="L288" s="5">
        <f>IF(COUNT(J288:K288)=2,K288-J288,0)</f>
        <v/>
      </c>
      <c r="M288" s="6">
        <f>L288*24</f>
        <v/>
      </c>
      <c r="N288" s="3" t="n">
        <v>60</v>
      </c>
      <c r="O288" s="6">
        <f>N288/60</f>
        <v/>
      </c>
      <c r="P288" s="6">
        <f>M288-O288</f>
        <v/>
      </c>
      <c r="Q288" s="6">
        <f>SUMIFS($P:$P,$A:$A,A288,$G:$G,G288)</f>
        <v/>
      </c>
      <c r="R288" s="5" t="n">
        <v>0.5208333333333334</v>
      </c>
      <c r="S288" s="5" t="n">
        <v>0.78125</v>
      </c>
      <c r="T288" s="5" t="n">
        <v>0.65625</v>
      </c>
      <c r="U288" s="5" t="n">
        <v>0.6979166666666666</v>
      </c>
      <c r="V288" s="3">
        <f>IF(COUNT(T288:U288)=2,ROUND((U288-T288)*1440,0),0)</f>
        <v/>
      </c>
    </row>
    <row r="289">
      <c r="A289" s="2" t="inlineStr">
        <is>
          <t>22222221-4</t>
        </is>
      </c>
      <c r="B289" s="3" t="inlineStr">
        <is>
          <t>Activo</t>
        </is>
      </c>
      <c r="C289" s="3" t="inlineStr">
        <is>
          <t>KAREN SILVA (EJEMPLO)</t>
        </is>
      </c>
      <c r="D289" s="3" t="inlineStr">
        <is>
          <t>EXAMEN Y PROCEDIMIENTOS</t>
        </is>
      </c>
      <c r="E289" s="4" t="n">
        <v>46316</v>
      </c>
      <c r="F289" s="3" t="inlineStr">
        <is>
          <t>Miércoles</t>
        </is>
      </c>
      <c r="G289" s="4" t="n">
        <v>46314</v>
      </c>
      <c r="H289" s="3" t="inlineStr">
        <is>
          <t>Tarde S/sábado</t>
        </is>
      </c>
      <c r="I289" s="3" t="inlineStr">
        <is>
          <t>TRABAJA</t>
        </is>
      </c>
      <c r="J289" s="5" t="n">
        <v>0.4375</v>
      </c>
      <c r="K289" s="5" t="n">
        <v>0.8333333333333334</v>
      </c>
      <c r="L289" s="5">
        <f>IF(COUNT(J289:K289)=2,K289-J289,0)</f>
        <v/>
      </c>
      <c r="M289" s="6">
        <f>L289*24</f>
        <v/>
      </c>
      <c r="N289" s="3" t="n">
        <v>60</v>
      </c>
      <c r="O289" s="6">
        <f>N289/60</f>
        <v/>
      </c>
      <c r="P289" s="6">
        <f>M289-O289</f>
        <v/>
      </c>
      <c r="Q289" s="6">
        <f>SUMIFS($P:$P,$A:$A,A289,$G:$G,G289)</f>
        <v/>
      </c>
      <c r="R289" s="5" t="n">
        <v>0.5520833333333334</v>
      </c>
      <c r="S289" s="5" t="n">
        <v>0.7916666666666666</v>
      </c>
      <c r="T289" s="5" t="n">
        <v>0.6666666666666666</v>
      </c>
      <c r="U289" s="5" t="n">
        <v>0.7083333333333334</v>
      </c>
      <c r="V289" s="3">
        <f>IF(COUNT(T289:U289)=2,ROUND((U289-T289)*1440,0),0)</f>
        <v/>
      </c>
    </row>
    <row r="290">
      <c r="A290" s="2" t="inlineStr">
        <is>
          <t>22222221-4</t>
        </is>
      </c>
      <c r="B290" s="3" t="inlineStr">
        <is>
          <t>Activo</t>
        </is>
      </c>
      <c r="C290" s="3" t="inlineStr">
        <is>
          <t>KAREN SILVA (EJEMPLO)</t>
        </is>
      </c>
      <c r="D290" s="3" t="inlineStr">
        <is>
          <t>EXAMEN Y PROCEDIMIENTOS</t>
        </is>
      </c>
      <c r="E290" s="4" t="n">
        <v>46317</v>
      </c>
      <c r="F290" s="3" t="inlineStr">
        <is>
          <t>Jueves</t>
        </is>
      </c>
      <c r="G290" s="4" t="n">
        <v>46314</v>
      </c>
      <c r="H290" s="3" t="inlineStr">
        <is>
          <t>Tarde S/sábado</t>
        </is>
      </c>
      <c r="I290" s="3" t="inlineStr">
        <is>
          <t>TRABAJA</t>
        </is>
      </c>
      <c r="J290" s="5" t="n">
        <v>0.4375</v>
      </c>
      <c r="K290" s="5" t="n">
        <v>0.8333333333333334</v>
      </c>
      <c r="L290" s="5">
        <f>IF(COUNT(J290:K290)=2,K290-J290,0)</f>
        <v/>
      </c>
      <c r="M290" s="6">
        <f>L290*24</f>
        <v/>
      </c>
      <c r="N290" s="3" t="n">
        <v>60</v>
      </c>
      <c r="O290" s="6">
        <f>N290/60</f>
        <v/>
      </c>
      <c r="P290" s="6">
        <f>M290-O290</f>
        <v/>
      </c>
      <c r="Q290" s="6">
        <f>SUMIFS($P:$P,$A:$A,A290,$G:$G,G290)</f>
        <v/>
      </c>
      <c r="R290" s="5" t="n">
        <v>0.53125</v>
      </c>
      <c r="S290" s="5" t="n">
        <v>0.7708333333333334</v>
      </c>
      <c r="T290" s="5" t="n">
        <v>0.6458333333333334</v>
      </c>
      <c r="U290" s="5" t="n">
        <v>0.6875</v>
      </c>
      <c r="V290" s="3">
        <f>IF(COUNT(T290:U290)=2,ROUND((U290-T290)*1440,0),0)</f>
        <v/>
      </c>
    </row>
    <row r="291">
      <c r="A291" s="2" t="inlineStr">
        <is>
          <t>22222221-4</t>
        </is>
      </c>
      <c r="B291" s="3" t="inlineStr">
        <is>
          <t>Activo</t>
        </is>
      </c>
      <c r="C291" s="3" t="inlineStr">
        <is>
          <t>KAREN SILVA (EJEMPLO)</t>
        </is>
      </c>
      <c r="D291" s="3" t="inlineStr">
        <is>
          <t>EXAMEN Y PROCEDIMIENTOS</t>
        </is>
      </c>
      <c r="E291" s="4" t="n">
        <v>46318</v>
      </c>
      <c r="F291" s="3" t="inlineStr">
        <is>
          <t>Viernes</t>
        </is>
      </c>
      <c r="G291" s="4" t="n">
        <v>46314</v>
      </c>
      <c r="H291" s="3" t="inlineStr">
        <is>
          <t>Tarde S/sábado</t>
        </is>
      </c>
      <c r="I291" s="3" t="inlineStr">
        <is>
          <t>TRABAJA</t>
        </is>
      </c>
      <c r="J291" s="5" t="n">
        <v>0.4583333333333333</v>
      </c>
      <c r="K291" s="5" t="n">
        <v>0.8333333333333334</v>
      </c>
      <c r="L291" s="5">
        <f>IF(COUNT(J291:K291)=2,K291-J291,0)</f>
        <v/>
      </c>
      <c r="M291" s="6">
        <f>L291*24</f>
        <v/>
      </c>
      <c r="N291" s="3" t="n">
        <v>60</v>
      </c>
      <c r="O291" s="6">
        <f>N291/60</f>
        <v/>
      </c>
      <c r="P291" s="6">
        <f>M291-O291</f>
        <v/>
      </c>
      <c r="Q291" s="6">
        <f>SUMIFS($P:$P,$A:$A,A291,$G:$G,G291)</f>
        <v/>
      </c>
      <c r="R291" s="5" t="n">
        <v>0.5416666666666666</v>
      </c>
      <c r="S291" s="5" t="n">
        <v>0.78125</v>
      </c>
      <c r="T291" s="5" t="n">
        <v>0.65625</v>
      </c>
      <c r="U291" s="5" t="n">
        <v>0.6979166666666666</v>
      </c>
      <c r="V291" s="3">
        <f>IF(COUNT(T291:U291)=2,ROUND((U291-T291)*1440,0),0)</f>
        <v/>
      </c>
    </row>
    <row r="292">
      <c r="A292" s="2" t="inlineStr">
        <is>
          <t>22222221-4</t>
        </is>
      </c>
      <c r="B292" s="3" t="inlineStr">
        <is>
          <t>Activo</t>
        </is>
      </c>
      <c r="C292" s="3" t="inlineStr">
        <is>
          <t>KAREN SILVA (EJEMPLO)</t>
        </is>
      </c>
      <c r="D292" s="3" t="inlineStr">
        <is>
          <t>EXAMEN Y PROCEDIMIENTOS</t>
        </is>
      </c>
      <c r="E292" s="4" t="n">
        <v>46319</v>
      </c>
      <c r="F292" s="3" t="inlineStr">
        <is>
          <t>Sábado</t>
        </is>
      </c>
      <c r="G292" s="4" t="n">
        <v>46314</v>
      </c>
      <c r="H292" s="3" t="inlineStr">
        <is>
          <t>Tarde S/sábado</t>
        </is>
      </c>
      <c r="I292" s="3" t="inlineStr">
        <is>
          <t>LIBRE</t>
        </is>
      </c>
      <c r="J292" s="5" t="n"/>
      <c r="K292" s="5" t="n"/>
      <c r="L292" s="5">
        <f>IF(COUNT(J292:K292)=2,K292-J292,0)</f>
        <v/>
      </c>
      <c r="M292" s="6">
        <f>L292*24</f>
        <v/>
      </c>
      <c r="N292" s="3" t="n">
        <v>0</v>
      </c>
      <c r="O292" s="6">
        <f>N292/60</f>
        <v/>
      </c>
      <c r="P292" s="6">
        <f>M292-O292</f>
        <v/>
      </c>
      <c r="Q292" s="6">
        <f>SUMIFS($P:$P,$A:$A,A292,$G:$G,G292)</f>
        <v/>
      </c>
      <c r="R292" s="5" t="n"/>
      <c r="S292" s="5" t="n"/>
      <c r="T292" s="5" t="n"/>
      <c r="U292" s="5" t="n"/>
      <c r="V292" s="3">
        <f>IF(COUNT(T292:U292)=2,ROUND((U292-T292)*1440,0),0)</f>
        <v/>
      </c>
    </row>
    <row r="293">
      <c r="A293" s="2" t="inlineStr">
        <is>
          <t>22222221-4</t>
        </is>
      </c>
      <c r="B293" s="3" t="inlineStr">
        <is>
          <t>Activo</t>
        </is>
      </c>
      <c r="C293" s="3" t="inlineStr">
        <is>
          <t>KAREN SILVA (EJEMPLO)</t>
        </is>
      </c>
      <c r="D293" s="3" t="inlineStr">
        <is>
          <t>EXAMEN Y PROCEDIMIENTOS</t>
        </is>
      </c>
      <c r="E293" s="4" t="n">
        <v>46321</v>
      </c>
      <c r="F293" s="3" t="inlineStr">
        <is>
          <t>Lunes</t>
        </is>
      </c>
      <c r="G293" s="4" t="n">
        <v>46321</v>
      </c>
      <c r="H293" s="3" t="inlineStr">
        <is>
          <t>Intermedio S/sábado</t>
        </is>
      </c>
      <c r="I293" s="3" t="inlineStr">
        <is>
          <t>TRABAJA</t>
        </is>
      </c>
      <c r="J293" s="5" t="n">
        <v>0.375</v>
      </c>
      <c r="K293" s="5" t="n">
        <v>0.7916666666666666</v>
      </c>
      <c r="L293" s="5">
        <f>IF(COUNT(J293:K293)=2,K293-J293,0)</f>
        <v/>
      </c>
      <c r="M293" s="6">
        <f>L293*24</f>
        <v/>
      </c>
      <c r="N293" s="3" t="n">
        <v>60</v>
      </c>
      <c r="O293" s="6">
        <f>N293/60</f>
        <v/>
      </c>
      <c r="P293" s="6">
        <f>M293-O293</f>
        <v/>
      </c>
      <c r="Q293" s="6">
        <f>SUMIFS($P:$P,$A:$A,A293,$G:$G,G293)</f>
        <v/>
      </c>
      <c r="R293" s="5" t="n">
        <v>0.4583333333333333</v>
      </c>
      <c r="S293" s="5" t="n">
        <v>0.7291666666666666</v>
      </c>
      <c r="T293" s="5" t="n">
        <v>0.59375</v>
      </c>
      <c r="U293" s="5" t="n">
        <v>0.6354166666666666</v>
      </c>
      <c r="V293" s="3">
        <f>IF(COUNT(T293:U293)=2,ROUND((U293-T293)*1440,0),0)</f>
        <v/>
      </c>
    </row>
    <row r="294">
      <c r="A294" s="2" t="inlineStr">
        <is>
          <t>22222221-4</t>
        </is>
      </c>
      <c r="B294" s="3" t="inlineStr">
        <is>
          <t>Activo</t>
        </is>
      </c>
      <c r="C294" s="3" t="inlineStr">
        <is>
          <t>KAREN SILVA (EJEMPLO)</t>
        </is>
      </c>
      <c r="D294" s="3" t="inlineStr">
        <is>
          <t>EXAMEN Y PROCEDIMIENTOS</t>
        </is>
      </c>
      <c r="E294" s="4" t="n">
        <v>46322</v>
      </c>
      <c r="F294" s="3" t="inlineStr">
        <is>
          <t>Martes</t>
        </is>
      </c>
      <c r="G294" s="4" t="n">
        <v>46321</v>
      </c>
      <c r="H294" s="3" t="inlineStr">
        <is>
          <t>Intermedio S/sábado</t>
        </is>
      </c>
      <c r="I294" s="3" t="inlineStr">
        <is>
          <t>TRABAJA</t>
        </is>
      </c>
      <c r="J294" s="5" t="n">
        <v>0.375</v>
      </c>
      <c r="K294" s="5" t="n">
        <v>0.7916666666666666</v>
      </c>
      <c r="L294" s="5">
        <f>IF(COUNT(J294:K294)=2,K294-J294,0)</f>
        <v/>
      </c>
      <c r="M294" s="6">
        <f>L294*24</f>
        <v/>
      </c>
      <c r="N294" s="3" t="n">
        <v>60</v>
      </c>
      <c r="O294" s="6">
        <f>N294/60</f>
        <v/>
      </c>
      <c r="P294" s="6">
        <f>M294-O294</f>
        <v/>
      </c>
      <c r="Q294" s="6">
        <f>SUMIFS($P:$P,$A:$A,A294,$G:$G,G294)</f>
        <v/>
      </c>
      <c r="R294" s="5" t="n">
        <v>0.4583333333333333</v>
      </c>
      <c r="S294" s="5" t="n">
        <v>0.7291666666666666</v>
      </c>
      <c r="T294" s="5" t="n">
        <v>0.59375</v>
      </c>
      <c r="U294" s="5" t="n">
        <v>0.6354166666666666</v>
      </c>
      <c r="V294" s="3">
        <f>IF(COUNT(T294:U294)=2,ROUND((U294-T294)*1440,0),0)</f>
        <v/>
      </c>
    </row>
    <row r="295">
      <c r="A295" s="2" t="inlineStr">
        <is>
          <t>22222221-4</t>
        </is>
      </c>
      <c r="B295" s="3" t="inlineStr">
        <is>
          <t>Activo</t>
        </is>
      </c>
      <c r="C295" s="3" t="inlineStr">
        <is>
          <t>KAREN SILVA (EJEMPLO)</t>
        </is>
      </c>
      <c r="D295" s="3" t="inlineStr">
        <is>
          <t>EXAMEN Y PROCEDIMIENTOS</t>
        </is>
      </c>
      <c r="E295" s="4" t="n">
        <v>46323</v>
      </c>
      <c r="F295" s="3" t="inlineStr">
        <is>
          <t>Miércoles</t>
        </is>
      </c>
      <c r="G295" s="4" t="n">
        <v>46321</v>
      </c>
      <c r="H295" s="3" t="inlineStr">
        <is>
          <t>Intermedio S/sábado</t>
        </is>
      </c>
      <c r="I295" s="3" t="inlineStr">
        <is>
          <t>TRABAJA</t>
        </is>
      </c>
      <c r="J295" s="5" t="n">
        <v>0.375</v>
      </c>
      <c r="K295" s="5" t="n">
        <v>0.75</v>
      </c>
      <c r="L295" s="5">
        <f>IF(COUNT(J295:K295)=2,K295-J295,0)</f>
        <v/>
      </c>
      <c r="M295" s="6">
        <f>L295*24</f>
        <v/>
      </c>
      <c r="N295" s="3" t="n">
        <v>60</v>
      </c>
      <c r="O295" s="6">
        <f>N295/60</f>
        <v/>
      </c>
      <c r="P295" s="6">
        <f>M295-O295</f>
        <v/>
      </c>
      <c r="Q295" s="6">
        <f>SUMIFS($P:$P,$A:$A,A295,$G:$G,G295)</f>
        <v/>
      </c>
      <c r="R295" s="5" t="n">
        <v>0.4791666666666667</v>
      </c>
      <c r="S295" s="5" t="n">
        <v>0.71875</v>
      </c>
      <c r="T295" s="5" t="n">
        <v>0.59375</v>
      </c>
      <c r="U295" s="5" t="n">
        <v>0.6354166666666666</v>
      </c>
      <c r="V295" s="3">
        <f>IF(COUNT(T295:U295)=2,ROUND((U295-T295)*1440,0),0)</f>
        <v/>
      </c>
    </row>
    <row r="296">
      <c r="A296" s="2" t="inlineStr">
        <is>
          <t>22222221-4</t>
        </is>
      </c>
      <c r="B296" s="3" t="inlineStr">
        <is>
          <t>Activo</t>
        </is>
      </c>
      <c r="C296" s="3" t="inlineStr">
        <is>
          <t>KAREN SILVA (EJEMPLO)</t>
        </is>
      </c>
      <c r="D296" s="3" t="inlineStr">
        <is>
          <t>EXAMEN Y PROCEDIMIENTOS</t>
        </is>
      </c>
      <c r="E296" s="4" t="n">
        <v>46324</v>
      </c>
      <c r="F296" s="3" t="inlineStr">
        <is>
          <t>Jueves</t>
        </is>
      </c>
      <c r="G296" s="4" t="n">
        <v>46321</v>
      </c>
      <c r="H296" s="3" t="inlineStr">
        <is>
          <t>Intermedio S/sábado</t>
        </is>
      </c>
      <c r="I296" s="3" t="inlineStr">
        <is>
          <t>TRABAJA</t>
        </is>
      </c>
      <c r="J296" s="5" t="n">
        <v>0.375</v>
      </c>
      <c r="K296" s="5" t="n">
        <v>0.75</v>
      </c>
      <c r="L296" s="5">
        <f>IF(COUNT(J296:K296)=2,K296-J296,0)</f>
        <v/>
      </c>
      <c r="M296" s="6">
        <f>L296*24</f>
        <v/>
      </c>
      <c r="N296" s="3" t="n">
        <v>60</v>
      </c>
      <c r="O296" s="6">
        <f>N296/60</f>
        <v/>
      </c>
      <c r="P296" s="6">
        <f>M296-O296</f>
        <v/>
      </c>
      <c r="Q296" s="6">
        <f>SUMIFS($P:$P,$A:$A,A296,$G:$G,G296)</f>
        <v/>
      </c>
      <c r="R296" s="5" t="n">
        <v>0.4583333333333333</v>
      </c>
      <c r="S296" s="5" t="n">
        <v>0.71875</v>
      </c>
      <c r="T296" s="5" t="n">
        <v>0.59375</v>
      </c>
      <c r="U296" s="5" t="n">
        <v>0.6354166666666666</v>
      </c>
      <c r="V296" s="3">
        <f>IF(COUNT(T296:U296)=2,ROUND((U296-T296)*1440,0),0)</f>
        <v/>
      </c>
    </row>
    <row r="297">
      <c r="A297" s="2" t="inlineStr">
        <is>
          <t>22222221-4</t>
        </is>
      </c>
      <c r="B297" s="3" t="inlineStr">
        <is>
          <t>Activo</t>
        </is>
      </c>
      <c r="C297" s="3" t="inlineStr">
        <is>
          <t>KAREN SILVA (EJEMPLO)</t>
        </is>
      </c>
      <c r="D297" s="3" t="inlineStr">
        <is>
          <t>EXAMEN Y PROCEDIMIENTOS</t>
        </is>
      </c>
      <c r="E297" s="4" t="n">
        <v>46325</v>
      </c>
      <c r="F297" s="3" t="inlineStr">
        <is>
          <t>Viernes</t>
        </is>
      </c>
      <c r="G297" s="4" t="n">
        <v>46321</v>
      </c>
      <c r="H297" s="3" t="inlineStr">
        <is>
          <t>Intermedio S/sábado</t>
        </is>
      </c>
      <c r="I297" s="3" t="inlineStr">
        <is>
          <t>TRABAJA</t>
        </is>
      </c>
      <c r="J297" s="5" t="n">
        <v>0.375</v>
      </c>
      <c r="K297" s="5" t="n">
        <v>0.75</v>
      </c>
      <c r="L297" s="5">
        <f>IF(COUNT(J297:K297)=2,K297-J297,0)</f>
        <v/>
      </c>
      <c r="M297" s="6">
        <f>L297*24</f>
        <v/>
      </c>
      <c r="N297" s="3" t="n">
        <v>60</v>
      </c>
      <c r="O297" s="6">
        <f>N297/60</f>
        <v/>
      </c>
      <c r="P297" s="6">
        <f>M297-O297</f>
        <v/>
      </c>
      <c r="Q297" s="6">
        <f>SUMIFS($P:$P,$A:$A,A297,$G:$G,G297)</f>
        <v/>
      </c>
      <c r="R297" s="5" t="n">
        <v>0.46875</v>
      </c>
      <c r="S297" s="5" t="n">
        <v>0.6979166666666666</v>
      </c>
      <c r="T297" s="5" t="n">
        <v>0.5520833333333334</v>
      </c>
      <c r="U297" s="5" t="n">
        <v>0.59375</v>
      </c>
      <c r="V297" s="3">
        <f>IF(COUNT(T297:U297)=2,ROUND((U297-T297)*1440,0),0)</f>
        <v/>
      </c>
    </row>
    <row r="298">
      <c r="A298" s="2" t="inlineStr">
        <is>
          <t>22222221-4</t>
        </is>
      </c>
      <c r="B298" s="3" t="inlineStr">
        <is>
          <t>Activo</t>
        </is>
      </c>
      <c r="C298" s="3" t="inlineStr">
        <is>
          <t>KAREN SILVA (EJEMPLO)</t>
        </is>
      </c>
      <c r="D298" s="3" t="inlineStr">
        <is>
          <t>EXAMEN Y PROCEDIMIENTOS</t>
        </is>
      </c>
      <c r="E298" s="4" t="n">
        <v>46326</v>
      </c>
      <c r="F298" s="3" t="inlineStr">
        <is>
          <t>Sábado</t>
        </is>
      </c>
      <c r="G298" s="4" t="n">
        <v>46321</v>
      </c>
      <c r="H298" s="3" t="inlineStr">
        <is>
          <t>Intermedio S/sábado</t>
        </is>
      </c>
      <c r="I298" s="3" t="inlineStr">
        <is>
          <t>FERIADO</t>
        </is>
      </c>
      <c r="J298" s="5" t="n"/>
      <c r="K298" s="5" t="n"/>
      <c r="L298" s="5">
        <f>IF(COUNT(J298:K298)=2,K298-J298,0)</f>
        <v/>
      </c>
      <c r="M298" s="6">
        <f>L298*24</f>
        <v/>
      </c>
      <c r="N298" s="3" t="n">
        <v>0</v>
      </c>
      <c r="O298" s="6">
        <f>N298/60</f>
        <v/>
      </c>
      <c r="P298" s="6">
        <f>M298-O298</f>
        <v/>
      </c>
      <c r="Q298" s="6">
        <f>SUMIFS($P:$P,$A:$A,A298,$G:$G,G298)</f>
        <v/>
      </c>
      <c r="R298" s="5" t="n"/>
      <c r="S298" s="5" t="n"/>
      <c r="T298" s="5" t="n"/>
      <c r="U298" s="5" t="n"/>
      <c r="V298" s="3">
        <f>IF(COUNT(T298:U298)=2,ROUND((U298-T298)*1440,0),0)</f>
        <v/>
      </c>
    </row>
    <row r="299">
      <c r="A299" s="2" t="inlineStr">
        <is>
          <t>23333332-8</t>
        </is>
      </c>
      <c r="B299" s="3" t="inlineStr">
        <is>
          <t>Activo</t>
        </is>
      </c>
      <c r="C299" s="3" t="inlineStr">
        <is>
          <t>LUIS MORALES (EJEMPLO)</t>
        </is>
      </c>
      <c r="D299" s="3" t="inlineStr">
        <is>
          <t>EXAMEN Y PROCEDIMIENTOS</t>
        </is>
      </c>
      <c r="E299" s="4" t="n">
        <v>46296</v>
      </c>
      <c r="F299" s="3" t="inlineStr">
        <is>
          <t>Jueves</t>
        </is>
      </c>
      <c r="G299" s="4" t="n">
        <v>46293</v>
      </c>
      <c r="H299" s="3" t="inlineStr">
        <is>
          <t>Intermedio S/sábado</t>
        </is>
      </c>
      <c r="I299" s="3" t="inlineStr">
        <is>
          <t>TRABAJA</t>
        </is>
      </c>
      <c r="J299" s="5" t="n">
        <v>0.375</v>
      </c>
      <c r="K299" s="5" t="n">
        <v>0.75</v>
      </c>
      <c r="L299" s="5">
        <f>IF(COUNT(J299:K299)=2,K299-J299,0)</f>
        <v/>
      </c>
      <c r="M299" s="6">
        <f>L299*24</f>
        <v/>
      </c>
      <c r="N299" s="3" t="n">
        <v>60</v>
      </c>
      <c r="O299" s="6">
        <f>N299/60</f>
        <v/>
      </c>
      <c r="P299" s="6">
        <f>M299-O299</f>
        <v/>
      </c>
      <c r="Q299" s="6">
        <f>SUMIFS($P:$P,$A:$A,A299,$G:$G,G299)</f>
        <v/>
      </c>
      <c r="R299" s="5" t="n">
        <v>0.4791666666666667</v>
      </c>
      <c r="S299" s="5" t="n">
        <v>0.71875</v>
      </c>
      <c r="T299" s="5" t="n">
        <v>0.59375</v>
      </c>
      <c r="U299" s="5" t="n">
        <v>0.6354166666666666</v>
      </c>
      <c r="V299" s="3">
        <f>IF(COUNT(T299:U299)=2,ROUND((U299-T299)*1440,0),0)</f>
        <v/>
      </c>
    </row>
    <row r="300">
      <c r="A300" s="2" t="inlineStr">
        <is>
          <t>23333332-8</t>
        </is>
      </c>
      <c r="B300" s="3" t="inlineStr">
        <is>
          <t>Activo</t>
        </is>
      </c>
      <c r="C300" s="3" t="inlineStr">
        <is>
          <t>LUIS MORALES (EJEMPLO)</t>
        </is>
      </c>
      <c r="D300" s="3" t="inlineStr">
        <is>
          <t>EXAMEN Y PROCEDIMIENTOS</t>
        </is>
      </c>
      <c r="E300" s="4" t="n">
        <v>46297</v>
      </c>
      <c r="F300" s="3" t="inlineStr">
        <is>
          <t>Viernes</t>
        </is>
      </c>
      <c r="G300" s="4" t="n">
        <v>46293</v>
      </c>
      <c r="H300" s="3" t="inlineStr">
        <is>
          <t>Intermedio S/sábado</t>
        </is>
      </c>
      <c r="I300" s="3" t="inlineStr">
        <is>
          <t>TRABAJA</t>
        </is>
      </c>
      <c r="J300" s="5" t="n">
        <v>0.375</v>
      </c>
      <c r="K300" s="5" t="n">
        <v>0.75</v>
      </c>
      <c r="L300" s="5">
        <f>IF(COUNT(J300:K300)=2,K300-J300,0)</f>
        <v/>
      </c>
      <c r="M300" s="6">
        <f>L300*24</f>
        <v/>
      </c>
      <c r="N300" s="3" t="n">
        <v>60</v>
      </c>
      <c r="O300" s="6">
        <f>N300/60</f>
        <v/>
      </c>
      <c r="P300" s="6">
        <f>M300-O300</f>
        <v/>
      </c>
      <c r="Q300" s="6">
        <f>SUMIFS($P:$P,$A:$A,A300,$G:$G,G300)</f>
        <v/>
      </c>
      <c r="R300" s="5" t="n">
        <v>0.4583333333333333</v>
      </c>
      <c r="S300" s="5" t="n">
        <v>0.6458333333333334</v>
      </c>
      <c r="T300" s="5" t="n">
        <v>0.5104166666666666</v>
      </c>
      <c r="U300" s="5" t="n">
        <v>0.5520833333333334</v>
      </c>
      <c r="V300" s="3">
        <f>IF(COUNT(T300:U300)=2,ROUND((U300-T300)*1440,0),0)</f>
        <v/>
      </c>
    </row>
    <row r="301">
      <c r="A301" s="2" t="inlineStr">
        <is>
          <t>23333332-8</t>
        </is>
      </c>
      <c r="B301" s="3" t="inlineStr">
        <is>
          <t>Activo</t>
        </is>
      </c>
      <c r="C301" s="3" t="inlineStr">
        <is>
          <t>LUIS MORALES (EJEMPLO)</t>
        </is>
      </c>
      <c r="D301" s="3" t="inlineStr">
        <is>
          <t>EXAMEN Y PROCEDIMIENTOS</t>
        </is>
      </c>
      <c r="E301" s="4" t="n">
        <v>46298</v>
      </c>
      <c r="F301" s="3" t="inlineStr">
        <is>
          <t>Sábado</t>
        </is>
      </c>
      <c r="G301" s="4" t="n">
        <v>46293</v>
      </c>
      <c r="H301" s="3" t="inlineStr">
        <is>
          <t>Intermedio S/sábado</t>
        </is>
      </c>
      <c r="I301" s="3" t="inlineStr">
        <is>
          <t>LIBRE</t>
        </is>
      </c>
      <c r="J301" s="5" t="n"/>
      <c r="K301" s="5" t="n"/>
      <c r="L301" s="5">
        <f>IF(COUNT(J301:K301)=2,K301-J301,0)</f>
        <v/>
      </c>
      <c r="M301" s="6">
        <f>L301*24</f>
        <v/>
      </c>
      <c r="N301" s="3" t="n">
        <v>0</v>
      </c>
      <c r="O301" s="6">
        <f>N301/60</f>
        <v/>
      </c>
      <c r="P301" s="6">
        <f>M301-O301</f>
        <v/>
      </c>
      <c r="Q301" s="6">
        <f>SUMIFS($P:$P,$A:$A,A301,$G:$G,G301)</f>
        <v/>
      </c>
      <c r="R301" s="5" t="n"/>
      <c r="S301" s="5" t="n"/>
      <c r="T301" s="5" t="n"/>
      <c r="U301" s="5" t="n"/>
      <c r="V301" s="3">
        <f>IF(COUNT(T301:U301)=2,ROUND((U301-T301)*1440,0),0)</f>
        <v/>
      </c>
    </row>
    <row r="302">
      <c r="A302" s="2" t="inlineStr">
        <is>
          <t>23333332-8</t>
        </is>
      </c>
      <c r="B302" s="3" t="inlineStr">
        <is>
          <t>Activo</t>
        </is>
      </c>
      <c r="C302" s="3" t="inlineStr">
        <is>
          <t>LUIS MORALES (EJEMPLO)</t>
        </is>
      </c>
      <c r="D302" s="3" t="inlineStr">
        <is>
          <t>EXAMEN Y PROCEDIMIENTOS</t>
        </is>
      </c>
      <c r="E302" s="4" t="n">
        <v>46300</v>
      </c>
      <c r="F302" s="3" t="inlineStr">
        <is>
          <t>Lunes</t>
        </is>
      </c>
      <c r="G302" s="4" t="n">
        <v>46300</v>
      </c>
      <c r="H302" s="3" t="inlineStr">
        <is>
          <t>Mañana C/sábado</t>
        </is>
      </c>
      <c r="I302" s="3" t="inlineStr">
        <is>
          <t>TRABAJA</t>
        </is>
      </c>
      <c r="J302" s="5" t="n">
        <v>0.3333333333333333</v>
      </c>
      <c r="K302" s="5" t="n">
        <v>0.6875</v>
      </c>
      <c r="L302" s="5">
        <f>IF(COUNT(J302:K302)=2,K302-J302,0)</f>
        <v/>
      </c>
      <c r="M302" s="6">
        <f>L302*24</f>
        <v/>
      </c>
      <c r="N302" s="3" t="n">
        <v>60</v>
      </c>
      <c r="O302" s="6">
        <f>N302/60</f>
        <v/>
      </c>
      <c r="P302" s="6">
        <f>M302-O302</f>
        <v/>
      </c>
      <c r="Q302" s="6">
        <f>SUMIFS($P:$P,$A:$A,A302,$G:$G,G302)</f>
        <v/>
      </c>
      <c r="R302" s="5" t="n">
        <v>0.4375</v>
      </c>
      <c r="S302" s="5" t="n">
        <v>0.65625</v>
      </c>
      <c r="T302" s="5" t="n">
        <v>0.5104166666666666</v>
      </c>
      <c r="U302" s="5" t="n">
        <v>0.5520833333333334</v>
      </c>
      <c r="V302" s="3">
        <f>IF(COUNT(T302:U302)=2,ROUND((U302-T302)*1440,0),0)</f>
        <v/>
      </c>
    </row>
    <row r="303">
      <c r="A303" s="2" t="inlineStr">
        <is>
          <t>23333332-8</t>
        </is>
      </c>
      <c r="B303" s="3" t="inlineStr">
        <is>
          <t>Activo</t>
        </is>
      </c>
      <c r="C303" s="3" t="inlineStr">
        <is>
          <t>LUIS MORALES (EJEMPLO)</t>
        </is>
      </c>
      <c r="D303" s="3" t="inlineStr">
        <is>
          <t>EXAMEN Y PROCEDIMIENTOS</t>
        </is>
      </c>
      <c r="E303" s="4" t="n">
        <v>46301</v>
      </c>
      <c r="F303" s="3" t="inlineStr">
        <is>
          <t>Martes</t>
        </is>
      </c>
      <c r="G303" s="4" t="n">
        <v>46300</v>
      </c>
      <c r="H303" s="3" t="inlineStr">
        <is>
          <t>Mañana C/sábado</t>
        </is>
      </c>
      <c r="I303" s="3" t="inlineStr">
        <is>
          <t>TRABAJA</t>
        </is>
      </c>
      <c r="J303" s="5" t="n">
        <v>0.3333333333333333</v>
      </c>
      <c r="K303" s="5" t="n">
        <v>0.6875</v>
      </c>
      <c r="L303" s="5">
        <f>IF(COUNT(J303:K303)=2,K303-J303,0)</f>
        <v/>
      </c>
      <c r="M303" s="6">
        <f>L303*24</f>
        <v/>
      </c>
      <c r="N303" s="3" t="n">
        <v>60</v>
      </c>
      <c r="O303" s="6">
        <f>N303/60</f>
        <v/>
      </c>
      <c r="P303" s="6">
        <f>M303-O303</f>
        <v/>
      </c>
      <c r="Q303" s="6">
        <f>SUMIFS($P:$P,$A:$A,A303,$G:$G,G303)</f>
        <v/>
      </c>
      <c r="R303" s="5" t="n">
        <v>0.4375</v>
      </c>
      <c r="S303" s="5" t="n">
        <v>0.65625</v>
      </c>
      <c r="T303" s="5" t="n">
        <v>0.5104166666666666</v>
      </c>
      <c r="U303" s="5" t="n">
        <v>0.5520833333333334</v>
      </c>
      <c r="V303" s="3">
        <f>IF(COUNT(T303:U303)=2,ROUND((U303-T303)*1440,0),0)</f>
        <v/>
      </c>
    </row>
    <row r="304">
      <c r="A304" s="2" t="inlineStr">
        <is>
          <t>23333332-8</t>
        </is>
      </c>
      <c r="B304" s="3" t="inlineStr">
        <is>
          <t>Activo</t>
        </is>
      </c>
      <c r="C304" s="3" t="inlineStr">
        <is>
          <t>LUIS MORALES (EJEMPLO)</t>
        </is>
      </c>
      <c r="D304" s="3" t="inlineStr">
        <is>
          <t>EXAMEN Y PROCEDIMIENTOS</t>
        </is>
      </c>
      <c r="E304" s="4" t="n">
        <v>46302</v>
      </c>
      <c r="F304" s="3" t="inlineStr">
        <is>
          <t>Miércoles</t>
        </is>
      </c>
      <c r="G304" s="4" t="n">
        <v>46300</v>
      </c>
      <c r="H304" s="3" t="inlineStr">
        <is>
          <t>Mañana C/sábado</t>
        </is>
      </c>
      <c r="I304" s="3" t="inlineStr">
        <is>
          <t>TRABAJA</t>
        </is>
      </c>
      <c r="J304" s="5" t="n">
        <v>0.3333333333333333</v>
      </c>
      <c r="K304" s="5" t="n">
        <v>0.6875</v>
      </c>
      <c r="L304" s="5">
        <f>IF(COUNT(J304:K304)=2,K304-J304,0)</f>
        <v/>
      </c>
      <c r="M304" s="6">
        <f>L304*24</f>
        <v/>
      </c>
      <c r="N304" s="3" t="n">
        <v>60</v>
      </c>
      <c r="O304" s="6">
        <f>N304/60</f>
        <v/>
      </c>
      <c r="P304" s="6">
        <f>M304-O304</f>
        <v/>
      </c>
      <c r="Q304" s="6">
        <f>SUMIFS($P:$P,$A:$A,A304,$G:$G,G304)</f>
        <v/>
      </c>
      <c r="R304" s="5" t="n">
        <v>0.4375</v>
      </c>
      <c r="S304" s="5" t="n">
        <v>0.65625</v>
      </c>
      <c r="T304" s="5" t="n">
        <v>0.53125</v>
      </c>
      <c r="U304" s="5" t="n">
        <v>0.5729166666666666</v>
      </c>
      <c r="V304" s="3">
        <f>IF(COUNT(T304:U304)=2,ROUND((U304-T304)*1440,0),0)</f>
        <v/>
      </c>
    </row>
    <row r="305">
      <c r="A305" s="2" t="inlineStr">
        <is>
          <t>23333332-8</t>
        </is>
      </c>
      <c r="B305" s="3" t="inlineStr">
        <is>
          <t>Activo</t>
        </is>
      </c>
      <c r="C305" s="3" t="inlineStr">
        <is>
          <t>LUIS MORALES (EJEMPLO)</t>
        </is>
      </c>
      <c r="D305" s="3" t="inlineStr">
        <is>
          <t>EXAMEN Y PROCEDIMIENTOS</t>
        </is>
      </c>
      <c r="E305" s="4" t="n">
        <v>46303</v>
      </c>
      <c r="F305" s="3" t="inlineStr">
        <is>
          <t>Jueves</t>
        </is>
      </c>
      <c r="G305" s="4" t="n">
        <v>46300</v>
      </c>
      <c r="H305" s="3" t="inlineStr">
        <is>
          <t>Mañana C/sábado</t>
        </is>
      </c>
      <c r="I305" s="3" t="inlineStr">
        <is>
          <t>TRABAJA</t>
        </is>
      </c>
      <c r="J305" s="5" t="n">
        <v>0.3333333333333333</v>
      </c>
      <c r="K305" s="5" t="n">
        <v>0.6666666666666666</v>
      </c>
      <c r="L305" s="5">
        <f>IF(COUNT(J305:K305)=2,K305-J305,0)</f>
        <v/>
      </c>
      <c r="M305" s="6">
        <f>L305*24</f>
        <v/>
      </c>
      <c r="N305" s="3" t="n">
        <v>60</v>
      </c>
      <c r="O305" s="6">
        <f>N305/60</f>
        <v/>
      </c>
      <c r="P305" s="6">
        <f>M305-O305</f>
        <v/>
      </c>
      <c r="Q305" s="6">
        <f>SUMIFS($P:$P,$A:$A,A305,$G:$G,G305)</f>
        <v/>
      </c>
      <c r="R305" s="5" t="n">
        <v>0.4375</v>
      </c>
      <c r="S305" s="5" t="n">
        <v>0.6145833333333334</v>
      </c>
      <c r="T305" s="5" t="n">
        <v>0.4895833333333333</v>
      </c>
      <c r="U305" s="5" t="n">
        <v>0.53125</v>
      </c>
      <c r="V305" s="3">
        <f>IF(COUNT(T305:U305)=2,ROUND((U305-T305)*1440,0),0)</f>
        <v/>
      </c>
    </row>
    <row r="306">
      <c r="A306" s="2" t="inlineStr">
        <is>
          <t>23333332-8</t>
        </is>
      </c>
      <c r="B306" s="3" t="inlineStr">
        <is>
          <t>Activo</t>
        </is>
      </c>
      <c r="C306" s="3" t="inlineStr">
        <is>
          <t>LUIS MORALES (EJEMPLO)</t>
        </is>
      </c>
      <c r="D306" s="3" t="inlineStr">
        <is>
          <t>EXAMEN Y PROCEDIMIENTOS</t>
        </is>
      </c>
      <c r="E306" s="4" t="n">
        <v>46304</v>
      </c>
      <c r="F306" s="3" t="inlineStr">
        <is>
          <t>Viernes</t>
        </is>
      </c>
      <c r="G306" s="4" t="n">
        <v>46300</v>
      </c>
      <c r="H306" s="3" t="inlineStr">
        <is>
          <t>Mañana C/sábado</t>
        </is>
      </c>
      <c r="I306" s="3" t="inlineStr">
        <is>
          <t>TRABAJA</t>
        </is>
      </c>
      <c r="J306" s="5" t="n">
        <v>0.3333333333333333</v>
      </c>
      <c r="K306" s="5" t="n">
        <v>0.6666666666666666</v>
      </c>
      <c r="L306" s="5">
        <f>IF(COUNT(J306:K306)=2,K306-J306,0)</f>
        <v/>
      </c>
      <c r="M306" s="6">
        <f>L306*24</f>
        <v/>
      </c>
      <c r="N306" s="3" t="n">
        <v>60</v>
      </c>
      <c r="O306" s="6">
        <f>N306/60</f>
        <v/>
      </c>
      <c r="P306" s="6">
        <f>M306-O306</f>
        <v/>
      </c>
      <c r="Q306" s="6">
        <f>SUMIFS($P:$P,$A:$A,A306,$G:$G,G306)</f>
        <v/>
      </c>
      <c r="R306" s="5" t="n">
        <v>0.4375</v>
      </c>
      <c r="S306" s="5" t="n">
        <v>0.6354166666666666</v>
      </c>
      <c r="T306" s="5" t="n">
        <v>0.5</v>
      </c>
      <c r="U306" s="5" t="n">
        <v>0.5416666666666666</v>
      </c>
      <c r="V306" s="3">
        <f>IF(COUNT(T306:U306)=2,ROUND((U306-T306)*1440,0),0)</f>
        <v/>
      </c>
    </row>
    <row r="307">
      <c r="A307" s="2" t="inlineStr">
        <is>
          <t>23333332-8</t>
        </is>
      </c>
      <c r="B307" s="3" t="inlineStr">
        <is>
          <t>Activo</t>
        </is>
      </c>
      <c r="C307" s="3" t="inlineStr">
        <is>
          <t>LUIS MORALES (EJEMPLO)</t>
        </is>
      </c>
      <c r="D307" s="3" t="inlineStr">
        <is>
          <t>EXAMEN Y PROCEDIMIENTOS</t>
        </is>
      </c>
      <c r="E307" s="4" t="n">
        <v>46305</v>
      </c>
      <c r="F307" s="3" t="inlineStr">
        <is>
          <t>Sábado</t>
        </is>
      </c>
      <c r="G307" s="4" t="n">
        <v>46300</v>
      </c>
      <c r="H307" s="3" t="inlineStr">
        <is>
          <t>Mañana C/sábado</t>
        </is>
      </c>
      <c r="I307" s="3" t="inlineStr">
        <is>
          <t>TRABAJA</t>
        </is>
      </c>
      <c r="J307" s="5" t="n">
        <v>0.3333333333333333</v>
      </c>
      <c r="K307" s="5" t="n">
        <v>0.5833333333333334</v>
      </c>
      <c r="L307" s="5">
        <f>IF(COUNT(J307:K307)=2,K307-J307,0)</f>
        <v/>
      </c>
      <c r="M307" s="6">
        <f>L307*24</f>
        <v/>
      </c>
      <c r="N307" s="3" t="n">
        <v>30</v>
      </c>
      <c r="O307" s="6">
        <f>N307/60</f>
        <v/>
      </c>
      <c r="P307" s="6">
        <f>M307-O307</f>
        <v/>
      </c>
      <c r="Q307" s="6">
        <f>SUMIFS($P:$P,$A:$A,A307,$G:$G,G307)</f>
        <v/>
      </c>
      <c r="R307" s="5" t="n"/>
      <c r="S307" s="5" t="n"/>
      <c r="T307" s="5" t="n">
        <v>0.4583333333333333</v>
      </c>
      <c r="U307" s="5" t="n">
        <v>0.4791666666666667</v>
      </c>
      <c r="V307" s="3">
        <f>IF(COUNT(T307:U307)=2,ROUND((U307-T307)*1440,0),0)</f>
        <v/>
      </c>
    </row>
    <row r="308">
      <c r="A308" s="2" t="inlineStr">
        <is>
          <t>23333332-8</t>
        </is>
      </c>
      <c r="B308" s="3" t="inlineStr">
        <is>
          <t>Activo</t>
        </is>
      </c>
      <c r="C308" s="3" t="inlineStr">
        <is>
          <t>LUIS MORALES (EJEMPLO)</t>
        </is>
      </c>
      <c r="D308" s="3" t="inlineStr">
        <is>
          <t>EXAMEN Y PROCEDIMIENTOS</t>
        </is>
      </c>
      <c r="E308" s="4" t="n">
        <v>46307</v>
      </c>
      <c r="F308" s="3" t="inlineStr">
        <is>
          <t>Lunes</t>
        </is>
      </c>
      <c r="G308" s="4" t="n">
        <v>46307</v>
      </c>
      <c r="H308" s="3" t="inlineStr">
        <is>
          <t>Intermedio S/sábado</t>
        </is>
      </c>
      <c r="I308" s="3" t="inlineStr">
        <is>
          <t>FERIADO</t>
        </is>
      </c>
      <c r="J308" s="5" t="n"/>
      <c r="K308" s="5" t="n"/>
      <c r="L308" s="5">
        <f>IF(COUNT(J308:K308)=2,K308-J308,0)</f>
        <v/>
      </c>
      <c r="M308" s="6">
        <f>L308*24</f>
        <v/>
      </c>
      <c r="N308" s="3" t="n">
        <v>0</v>
      </c>
      <c r="O308" s="6">
        <f>N308/60</f>
        <v/>
      </c>
      <c r="P308" s="6">
        <f>M308-O308</f>
        <v/>
      </c>
      <c r="Q308" s="6">
        <f>SUMIFS($P:$P,$A:$A,A308,$G:$G,G308)</f>
        <v/>
      </c>
      <c r="R308" s="5" t="n"/>
      <c r="S308" s="5" t="n"/>
      <c r="T308" s="5" t="n"/>
      <c r="U308" s="5" t="n"/>
      <c r="V308" s="3">
        <f>IF(COUNT(T308:U308)=2,ROUND((U308-T308)*1440,0),0)</f>
        <v/>
      </c>
    </row>
    <row r="309">
      <c r="A309" s="2" t="inlineStr">
        <is>
          <t>23333332-8</t>
        </is>
      </c>
      <c r="B309" s="3" t="inlineStr">
        <is>
          <t>Activo</t>
        </is>
      </c>
      <c r="C309" s="3" t="inlineStr">
        <is>
          <t>LUIS MORALES (EJEMPLO)</t>
        </is>
      </c>
      <c r="D309" s="3" t="inlineStr">
        <is>
          <t>EXAMEN Y PROCEDIMIENTOS</t>
        </is>
      </c>
      <c r="E309" s="4" t="n">
        <v>46308</v>
      </c>
      <c r="F309" s="3" t="inlineStr">
        <is>
          <t>Martes</t>
        </is>
      </c>
      <c r="G309" s="4" t="n">
        <v>46307</v>
      </c>
      <c r="H309" s="3" t="inlineStr">
        <is>
          <t>Intermedio S/sábado</t>
        </is>
      </c>
      <c r="I309" s="3" t="inlineStr">
        <is>
          <t>TRABAJA</t>
        </is>
      </c>
      <c r="J309" s="5" t="n">
        <v>0.375</v>
      </c>
      <c r="K309" s="5" t="n">
        <v>0.7916666666666666</v>
      </c>
      <c r="L309" s="5">
        <f>IF(COUNT(J309:K309)=2,K309-J309,0)</f>
        <v/>
      </c>
      <c r="M309" s="6">
        <f>L309*24</f>
        <v/>
      </c>
      <c r="N309" s="3" t="n">
        <v>60</v>
      </c>
      <c r="O309" s="6">
        <f>N309/60</f>
        <v/>
      </c>
      <c r="P309" s="6">
        <f>M309-O309</f>
        <v/>
      </c>
      <c r="Q309" s="6">
        <f>SUMIFS($P:$P,$A:$A,A309,$G:$G,G309)</f>
        <v/>
      </c>
      <c r="R309" s="5" t="n">
        <v>0.4895833333333333</v>
      </c>
      <c r="S309" s="5" t="n">
        <v>0.75</v>
      </c>
      <c r="T309" s="5" t="n">
        <v>0.625</v>
      </c>
      <c r="U309" s="5" t="n">
        <v>0.6666666666666666</v>
      </c>
      <c r="V309" s="3">
        <f>IF(COUNT(T309:U309)=2,ROUND((U309-T309)*1440,0),0)</f>
        <v/>
      </c>
    </row>
    <row r="310">
      <c r="A310" s="2" t="inlineStr">
        <is>
          <t>23333332-8</t>
        </is>
      </c>
      <c r="B310" s="3" t="inlineStr">
        <is>
          <t>Activo</t>
        </is>
      </c>
      <c r="C310" s="3" t="inlineStr">
        <is>
          <t>LUIS MORALES (EJEMPLO)</t>
        </is>
      </c>
      <c r="D310" s="3" t="inlineStr">
        <is>
          <t>EXAMEN Y PROCEDIMIENTOS</t>
        </is>
      </c>
      <c r="E310" s="4" t="n">
        <v>46309</v>
      </c>
      <c r="F310" s="3" t="inlineStr">
        <is>
          <t>Miércoles</t>
        </is>
      </c>
      <c r="G310" s="4" t="n">
        <v>46307</v>
      </c>
      <c r="H310" s="3" t="inlineStr">
        <is>
          <t>Intermedio S/sábado</t>
        </is>
      </c>
      <c r="I310" s="3" t="inlineStr">
        <is>
          <t>TRABAJA</t>
        </is>
      </c>
      <c r="J310" s="5" t="n">
        <v>0.375</v>
      </c>
      <c r="K310" s="5" t="n">
        <v>0.75</v>
      </c>
      <c r="L310" s="5">
        <f>IF(COUNT(J310:K310)=2,K310-J310,0)</f>
        <v/>
      </c>
      <c r="M310" s="6">
        <f>L310*24</f>
        <v/>
      </c>
      <c r="N310" s="3" t="n">
        <v>60</v>
      </c>
      <c r="O310" s="6">
        <f>N310/60</f>
        <v/>
      </c>
      <c r="P310" s="6">
        <f>M310-O310</f>
        <v/>
      </c>
      <c r="Q310" s="6">
        <f>SUMIFS($P:$P,$A:$A,A310,$G:$G,G310)</f>
        <v/>
      </c>
      <c r="R310" s="5" t="n">
        <v>0.46875</v>
      </c>
      <c r="S310" s="5" t="n">
        <v>0.71875</v>
      </c>
      <c r="T310" s="5" t="n">
        <v>0.59375</v>
      </c>
      <c r="U310" s="5" t="n">
        <v>0.6354166666666666</v>
      </c>
      <c r="V310" s="3">
        <f>IF(COUNT(T310:U310)=2,ROUND((U310-T310)*1440,0),0)</f>
        <v/>
      </c>
    </row>
    <row r="311">
      <c r="A311" s="2" t="inlineStr">
        <is>
          <t>23333332-8</t>
        </is>
      </c>
      <c r="B311" s="3" t="inlineStr">
        <is>
          <t>Activo</t>
        </is>
      </c>
      <c r="C311" s="3" t="inlineStr">
        <is>
          <t>LUIS MORALES (EJEMPLO)</t>
        </is>
      </c>
      <c r="D311" s="3" t="inlineStr">
        <is>
          <t>EXAMEN Y PROCEDIMIENTOS</t>
        </is>
      </c>
      <c r="E311" s="4" t="n">
        <v>46310</v>
      </c>
      <c r="F311" s="3" t="inlineStr">
        <is>
          <t>Jueves</t>
        </is>
      </c>
      <c r="G311" s="4" t="n">
        <v>46307</v>
      </c>
      <c r="H311" s="3" t="inlineStr">
        <is>
          <t>Intermedio S/sábado</t>
        </is>
      </c>
      <c r="I311" s="3" t="inlineStr">
        <is>
          <t>TRABAJA</t>
        </is>
      </c>
      <c r="J311" s="5" t="n">
        <v>0.375</v>
      </c>
      <c r="K311" s="5" t="n">
        <v>0.75</v>
      </c>
      <c r="L311" s="5">
        <f>IF(COUNT(J311:K311)=2,K311-J311,0)</f>
        <v/>
      </c>
      <c r="M311" s="6">
        <f>L311*24</f>
        <v/>
      </c>
      <c r="N311" s="3" t="n">
        <v>60</v>
      </c>
      <c r="O311" s="6">
        <f>N311/60</f>
        <v/>
      </c>
      <c r="P311" s="6">
        <f>M311-O311</f>
        <v/>
      </c>
      <c r="Q311" s="6">
        <f>SUMIFS($P:$P,$A:$A,A311,$G:$G,G311)</f>
        <v/>
      </c>
      <c r="R311" s="5" t="n">
        <v>0.46875</v>
      </c>
      <c r="S311" s="5" t="n">
        <v>0.6458333333333334</v>
      </c>
      <c r="T311" s="5" t="n">
        <v>0.5208333333333334</v>
      </c>
      <c r="U311" s="5" t="n">
        <v>0.5625</v>
      </c>
      <c r="V311" s="3">
        <f>IF(COUNT(T311:U311)=2,ROUND((U311-T311)*1440,0),0)</f>
        <v/>
      </c>
    </row>
    <row r="312">
      <c r="A312" s="2" t="inlineStr">
        <is>
          <t>23333332-8</t>
        </is>
      </c>
      <c r="B312" s="3" t="inlineStr">
        <is>
          <t>Activo</t>
        </is>
      </c>
      <c r="C312" s="3" t="inlineStr">
        <is>
          <t>LUIS MORALES (EJEMPLO)</t>
        </is>
      </c>
      <c r="D312" s="3" t="inlineStr">
        <is>
          <t>EXAMEN Y PROCEDIMIENTOS</t>
        </is>
      </c>
      <c r="E312" s="4" t="n">
        <v>46311</v>
      </c>
      <c r="F312" s="3" t="inlineStr">
        <is>
          <t>Viernes</t>
        </is>
      </c>
      <c r="G312" s="4" t="n">
        <v>46307</v>
      </c>
      <c r="H312" s="3" t="inlineStr">
        <is>
          <t>Intermedio S/sábado</t>
        </is>
      </c>
      <c r="I312" s="3" t="inlineStr">
        <is>
          <t>TRABAJA</t>
        </is>
      </c>
      <c r="J312" s="5" t="n">
        <v>0.375</v>
      </c>
      <c r="K312" s="5" t="n">
        <v>0.75</v>
      </c>
      <c r="L312" s="5">
        <f>IF(COUNT(J312:K312)=2,K312-J312,0)</f>
        <v/>
      </c>
      <c r="M312" s="6">
        <f>L312*24</f>
        <v/>
      </c>
      <c r="N312" s="3" t="n">
        <v>60</v>
      </c>
      <c r="O312" s="6">
        <f>N312/60</f>
        <v/>
      </c>
      <c r="P312" s="6">
        <f>M312-O312</f>
        <v/>
      </c>
      <c r="Q312" s="6">
        <f>SUMIFS($P:$P,$A:$A,A312,$G:$G,G312)</f>
        <v/>
      </c>
      <c r="R312" s="5" t="n">
        <v>0.46875</v>
      </c>
      <c r="S312" s="5" t="n">
        <v>0.71875</v>
      </c>
      <c r="T312" s="5" t="n">
        <v>0.59375</v>
      </c>
      <c r="U312" s="5" t="n">
        <v>0.6354166666666666</v>
      </c>
      <c r="V312" s="3">
        <f>IF(COUNT(T312:U312)=2,ROUND((U312-T312)*1440,0),0)</f>
        <v/>
      </c>
    </row>
    <row r="313">
      <c r="A313" s="2" t="inlineStr">
        <is>
          <t>23333332-8</t>
        </is>
      </c>
      <c r="B313" s="3" t="inlineStr">
        <is>
          <t>Activo</t>
        </is>
      </c>
      <c r="C313" s="3" t="inlineStr">
        <is>
          <t>LUIS MORALES (EJEMPLO)</t>
        </is>
      </c>
      <c r="D313" s="3" t="inlineStr">
        <is>
          <t>EXAMEN Y PROCEDIMIENTOS</t>
        </is>
      </c>
      <c r="E313" s="4" t="n">
        <v>46312</v>
      </c>
      <c r="F313" s="3" t="inlineStr">
        <is>
          <t>Sábado</t>
        </is>
      </c>
      <c r="G313" s="4" t="n">
        <v>46307</v>
      </c>
      <c r="H313" s="3" t="inlineStr">
        <is>
          <t>Intermedio S/sábado</t>
        </is>
      </c>
      <c r="I313" s="3" t="inlineStr">
        <is>
          <t>LIBRE</t>
        </is>
      </c>
      <c r="J313" s="5" t="n"/>
      <c r="K313" s="5" t="n"/>
      <c r="L313" s="5">
        <f>IF(COUNT(J313:K313)=2,K313-J313,0)</f>
        <v/>
      </c>
      <c r="M313" s="6">
        <f>L313*24</f>
        <v/>
      </c>
      <c r="N313" s="3" t="n">
        <v>0</v>
      </c>
      <c r="O313" s="6">
        <f>N313/60</f>
        <v/>
      </c>
      <c r="P313" s="6">
        <f>M313-O313</f>
        <v/>
      </c>
      <c r="Q313" s="6">
        <f>SUMIFS($P:$P,$A:$A,A313,$G:$G,G313)</f>
        <v/>
      </c>
      <c r="R313" s="5" t="n"/>
      <c r="S313" s="5" t="n"/>
      <c r="T313" s="5" t="n"/>
      <c r="U313" s="5" t="n"/>
      <c r="V313" s="3">
        <f>IF(COUNT(T313:U313)=2,ROUND((U313-T313)*1440,0),0)</f>
        <v/>
      </c>
    </row>
    <row r="314">
      <c r="A314" s="2" t="inlineStr">
        <is>
          <t>23333332-8</t>
        </is>
      </c>
      <c r="B314" s="3" t="inlineStr">
        <is>
          <t>Activo</t>
        </is>
      </c>
      <c r="C314" s="3" t="inlineStr">
        <is>
          <t>LUIS MORALES (EJEMPLO)</t>
        </is>
      </c>
      <c r="D314" s="3" t="inlineStr">
        <is>
          <t>EXAMEN Y PROCEDIMIENTOS</t>
        </is>
      </c>
      <c r="E314" s="4" t="n">
        <v>46314</v>
      </c>
      <c r="F314" s="3" t="inlineStr">
        <is>
          <t>Lunes</t>
        </is>
      </c>
      <c r="G314" s="4" t="n">
        <v>46314</v>
      </c>
      <c r="H314" s="3" t="inlineStr">
        <is>
          <t>Tarde S/sábado</t>
        </is>
      </c>
      <c r="I314" s="3" t="inlineStr">
        <is>
          <t>TRABAJA</t>
        </is>
      </c>
      <c r="J314" s="5" t="n">
        <v>0.4375</v>
      </c>
      <c r="K314" s="5" t="n">
        <v>0.8333333333333334</v>
      </c>
      <c r="L314" s="5">
        <f>IF(COUNT(J314:K314)=2,K314-J314,0)</f>
        <v/>
      </c>
      <c r="M314" s="6">
        <f>L314*24</f>
        <v/>
      </c>
      <c r="N314" s="3" t="n">
        <v>60</v>
      </c>
      <c r="O314" s="6">
        <f>N314/60</f>
        <v/>
      </c>
      <c r="P314" s="6">
        <f>M314-O314</f>
        <v/>
      </c>
      <c r="Q314" s="6">
        <f>SUMIFS($P:$P,$A:$A,A314,$G:$G,G314)</f>
        <v/>
      </c>
      <c r="R314" s="5" t="n">
        <v>0.5416666666666666</v>
      </c>
      <c r="S314" s="5" t="n">
        <v>0.8020833333333334</v>
      </c>
      <c r="T314" s="5" t="n">
        <v>0.6770833333333334</v>
      </c>
      <c r="U314" s="5" t="n">
        <v>0.71875</v>
      </c>
      <c r="V314" s="3">
        <f>IF(COUNT(T314:U314)=2,ROUND((U314-T314)*1440,0),0)</f>
        <v/>
      </c>
    </row>
    <row r="315">
      <c r="A315" s="2" t="inlineStr">
        <is>
          <t>23333332-8</t>
        </is>
      </c>
      <c r="B315" s="3" t="inlineStr">
        <is>
          <t>Activo</t>
        </is>
      </c>
      <c r="C315" s="3" t="inlineStr">
        <is>
          <t>LUIS MORALES (EJEMPLO)</t>
        </is>
      </c>
      <c r="D315" s="3" t="inlineStr">
        <is>
          <t>EXAMEN Y PROCEDIMIENTOS</t>
        </is>
      </c>
      <c r="E315" s="4" t="n">
        <v>46315</v>
      </c>
      <c r="F315" s="3" t="inlineStr">
        <is>
          <t>Martes</t>
        </is>
      </c>
      <c r="G315" s="4" t="n">
        <v>46314</v>
      </c>
      <c r="H315" s="3" t="inlineStr">
        <is>
          <t>Tarde S/sábado</t>
        </is>
      </c>
      <c r="I315" s="3" t="inlineStr">
        <is>
          <t>TRABAJA</t>
        </is>
      </c>
      <c r="J315" s="5" t="n">
        <v>0.4375</v>
      </c>
      <c r="K315" s="5" t="n">
        <v>0.8333333333333334</v>
      </c>
      <c r="L315" s="5">
        <f>IF(COUNT(J315:K315)=2,K315-J315,0)</f>
        <v/>
      </c>
      <c r="M315" s="6">
        <f>L315*24</f>
        <v/>
      </c>
      <c r="N315" s="3" t="n">
        <v>60</v>
      </c>
      <c r="O315" s="6">
        <f>N315/60</f>
        <v/>
      </c>
      <c r="P315" s="6">
        <f>M315-O315</f>
        <v/>
      </c>
      <c r="Q315" s="6">
        <f>SUMIFS($P:$P,$A:$A,A315,$G:$G,G315)</f>
        <v/>
      </c>
      <c r="R315" s="5" t="n">
        <v>0.5416666666666666</v>
      </c>
      <c r="S315" s="5" t="n">
        <v>0.8020833333333334</v>
      </c>
      <c r="T315" s="5" t="n">
        <v>0.6770833333333334</v>
      </c>
      <c r="U315" s="5" t="n">
        <v>0.71875</v>
      </c>
      <c r="V315" s="3">
        <f>IF(COUNT(T315:U315)=2,ROUND((U315-T315)*1440,0),0)</f>
        <v/>
      </c>
    </row>
    <row r="316">
      <c r="A316" s="2" t="inlineStr">
        <is>
          <t>23333332-8</t>
        </is>
      </c>
      <c r="B316" s="3" t="inlineStr">
        <is>
          <t>Activo</t>
        </is>
      </c>
      <c r="C316" s="3" t="inlineStr">
        <is>
          <t>LUIS MORALES (EJEMPLO)</t>
        </is>
      </c>
      <c r="D316" s="3" t="inlineStr">
        <is>
          <t>EXAMEN Y PROCEDIMIENTOS</t>
        </is>
      </c>
      <c r="E316" s="4" t="n">
        <v>46316</v>
      </c>
      <c r="F316" s="3" t="inlineStr">
        <is>
          <t>Miércoles</t>
        </is>
      </c>
      <c r="G316" s="4" t="n">
        <v>46314</v>
      </c>
      <c r="H316" s="3" t="inlineStr">
        <is>
          <t>Tarde S/sábado</t>
        </is>
      </c>
      <c r="I316" s="3" t="inlineStr">
        <is>
          <t>TRABAJA</t>
        </is>
      </c>
      <c r="J316" s="5" t="n">
        <v>0.4375</v>
      </c>
      <c r="K316" s="5" t="n">
        <v>0.8333333333333334</v>
      </c>
      <c r="L316" s="5">
        <f>IF(COUNT(J316:K316)=2,K316-J316,0)</f>
        <v/>
      </c>
      <c r="M316" s="6">
        <f>L316*24</f>
        <v/>
      </c>
      <c r="N316" s="3" t="n">
        <v>60</v>
      </c>
      <c r="O316" s="6">
        <f>N316/60</f>
        <v/>
      </c>
      <c r="P316" s="6">
        <f>M316-O316</f>
        <v/>
      </c>
      <c r="Q316" s="6">
        <f>SUMIFS($P:$P,$A:$A,A316,$G:$G,G316)</f>
        <v/>
      </c>
      <c r="R316" s="5" t="n">
        <v>0.5625</v>
      </c>
      <c r="S316" s="5" t="n">
        <v>0.7604166666666666</v>
      </c>
      <c r="T316" s="5" t="n">
        <v>0.6354166666666666</v>
      </c>
      <c r="U316" s="5" t="n">
        <v>0.6770833333333334</v>
      </c>
      <c r="V316" s="3">
        <f>IF(COUNT(T316:U316)=2,ROUND((U316-T316)*1440,0),0)</f>
        <v/>
      </c>
    </row>
    <row r="317">
      <c r="A317" s="2" t="inlineStr">
        <is>
          <t>23333332-8</t>
        </is>
      </c>
      <c r="B317" s="3" t="inlineStr">
        <is>
          <t>Activo</t>
        </is>
      </c>
      <c r="C317" s="3" t="inlineStr">
        <is>
          <t>LUIS MORALES (EJEMPLO)</t>
        </is>
      </c>
      <c r="D317" s="3" t="inlineStr">
        <is>
          <t>EXAMEN Y PROCEDIMIENTOS</t>
        </is>
      </c>
      <c r="E317" s="4" t="n">
        <v>46317</v>
      </c>
      <c r="F317" s="3" t="inlineStr">
        <is>
          <t>Jueves</t>
        </is>
      </c>
      <c r="G317" s="4" t="n">
        <v>46314</v>
      </c>
      <c r="H317" s="3" t="inlineStr">
        <is>
          <t>Tarde S/sábado</t>
        </is>
      </c>
      <c r="I317" s="3" t="inlineStr">
        <is>
          <t>TRABAJA</t>
        </is>
      </c>
      <c r="J317" s="5" t="n">
        <v>0.4375</v>
      </c>
      <c r="K317" s="5" t="n">
        <v>0.8333333333333334</v>
      </c>
      <c r="L317" s="5">
        <f>IF(COUNT(J317:K317)=2,K317-J317,0)</f>
        <v/>
      </c>
      <c r="M317" s="6">
        <f>L317*24</f>
        <v/>
      </c>
      <c r="N317" s="3" t="n">
        <v>60</v>
      </c>
      <c r="O317" s="6">
        <f>N317/60</f>
        <v/>
      </c>
      <c r="P317" s="6">
        <f>M317-O317</f>
        <v/>
      </c>
      <c r="Q317" s="6">
        <f>SUMIFS($P:$P,$A:$A,A317,$G:$G,G317)</f>
        <v/>
      </c>
      <c r="R317" s="5" t="n">
        <v>0.5416666666666666</v>
      </c>
      <c r="S317" s="5" t="n">
        <v>0.8020833333333334</v>
      </c>
      <c r="T317" s="5" t="n">
        <v>0.6770833333333334</v>
      </c>
      <c r="U317" s="5" t="n">
        <v>0.71875</v>
      </c>
      <c r="V317" s="3">
        <f>IF(COUNT(T317:U317)=2,ROUND((U317-T317)*1440,0),0)</f>
        <v/>
      </c>
    </row>
    <row r="318">
      <c r="A318" s="2" t="inlineStr">
        <is>
          <t>23333332-8</t>
        </is>
      </c>
      <c r="B318" s="3" t="inlineStr">
        <is>
          <t>Activo</t>
        </is>
      </c>
      <c r="C318" s="3" t="inlineStr">
        <is>
          <t>LUIS MORALES (EJEMPLO)</t>
        </is>
      </c>
      <c r="D318" s="3" t="inlineStr">
        <is>
          <t>EXAMEN Y PROCEDIMIENTOS</t>
        </is>
      </c>
      <c r="E318" s="4" t="n">
        <v>46318</v>
      </c>
      <c r="F318" s="3" t="inlineStr">
        <is>
          <t>Viernes</t>
        </is>
      </c>
      <c r="G318" s="4" t="n">
        <v>46314</v>
      </c>
      <c r="H318" s="3" t="inlineStr">
        <is>
          <t>Tarde S/sábado</t>
        </is>
      </c>
      <c r="I318" s="3" t="inlineStr">
        <is>
          <t>TRABAJA</t>
        </is>
      </c>
      <c r="J318" s="5" t="n">
        <v>0.4583333333333333</v>
      </c>
      <c r="K318" s="5" t="n">
        <v>0.8333333333333334</v>
      </c>
      <c r="L318" s="5">
        <f>IF(COUNT(J318:K318)=2,K318-J318,0)</f>
        <v/>
      </c>
      <c r="M318" s="6">
        <f>L318*24</f>
        <v/>
      </c>
      <c r="N318" s="3" t="n">
        <v>60</v>
      </c>
      <c r="O318" s="6">
        <f>N318/60</f>
        <v/>
      </c>
      <c r="P318" s="6">
        <f>M318-O318</f>
        <v/>
      </c>
      <c r="Q318" s="6">
        <f>SUMIFS($P:$P,$A:$A,A318,$G:$G,G318)</f>
        <v/>
      </c>
      <c r="R318" s="5" t="n">
        <v>0.5729166666666666</v>
      </c>
      <c r="S318" s="5" t="n">
        <v>0.8020833333333334</v>
      </c>
      <c r="T318" s="5" t="n">
        <v>0.6770833333333334</v>
      </c>
      <c r="U318" s="5" t="n">
        <v>0.71875</v>
      </c>
      <c r="V318" s="3">
        <f>IF(COUNT(T318:U318)=2,ROUND((U318-T318)*1440,0),0)</f>
        <v/>
      </c>
    </row>
    <row r="319">
      <c r="A319" s="2" t="inlineStr">
        <is>
          <t>23333332-8</t>
        </is>
      </c>
      <c r="B319" s="3" t="inlineStr">
        <is>
          <t>Activo</t>
        </is>
      </c>
      <c r="C319" s="3" t="inlineStr">
        <is>
          <t>LUIS MORALES (EJEMPLO)</t>
        </is>
      </c>
      <c r="D319" s="3" t="inlineStr">
        <is>
          <t>EXAMEN Y PROCEDIMIENTOS</t>
        </is>
      </c>
      <c r="E319" s="4" t="n">
        <v>46319</v>
      </c>
      <c r="F319" s="3" t="inlineStr">
        <is>
          <t>Sábado</t>
        </is>
      </c>
      <c r="G319" s="4" t="n">
        <v>46314</v>
      </c>
      <c r="H319" s="3" t="inlineStr">
        <is>
          <t>Tarde S/sábado</t>
        </is>
      </c>
      <c r="I319" s="3" t="inlineStr">
        <is>
          <t>LIBRE</t>
        </is>
      </c>
      <c r="J319" s="5" t="n"/>
      <c r="K319" s="5" t="n"/>
      <c r="L319" s="5">
        <f>IF(COUNT(J319:K319)=2,K319-J319,0)</f>
        <v/>
      </c>
      <c r="M319" s="6">
        <f>L319*24</f>
        <v/>
      </c>
      <c r="N319" s="3" t="n">
        <v>0</v>
      </c>
      <c r="O319" s="6">
        <f>N319/60</f>
        <v/>
      </c>
      <c r="P319" s="6">
        <f>M319-O319</f>
        <v/>
      </c>
      <c r="Q319" s="6">
        <f>SUMIFS($P:$P,$A:$A,A319,$G:$G,G319)</f>
        <v/>
      </c>
      <c r="R319" s="5" t="n"/>
      <c r="S319" s="5" t="n"/>
      <c r="T319" s="5" t="n"/>
      <c r="U319" s="5" t="n"/>
      <c r="V319" s="3">
        <f>IF(COUNT(T319:U319)=2,ROUND((U319-T319)*1440,0),0)</f>
        <v/>
      </c>
    </row>
    <row r="320">
      <c r="A320" s="2" t="inlineStr">
        <is>
          <t>23333332-8</t>
        </is>
      </c>
      <c r="B320" s="3" t="inlineStr">
        <is>
          <t>Activo</t>
        </is>
      </c>
      <c r="C320" s="3" t="inlineStr">
        <is>
          <t>LUIS MORALES (EJEMPLO)</t>
        </is>
      </c>
      <c r="D320" s="3" t="inlineStr">
        <is>
          <t>EXAMEN Y PROCEDIMIENTOS</t>
        </is>
      </c>
      <c r="E320" s="4" t="n">
        <v>46321</v>
      </c>
      <c r="F320" s="3" t="inlineStr">
        <is>
          <t>Lunes</t>
        </is>
      </c>
      <c r="G320" s="4" t="n">
        <v>46321</v>
      </c>
      <c r="H320" s="3" t="inlineStr">
        <is>
          <t>Mañana C/sábado</t>
        </is>
      </c>
      <c r="I320" s="3" t="inlineStr">
        <is>
          <t>TRABAJA</t>
        </is>
      </c>
      <c r="J320" s="5" t="n">
        <v>0.3333333333333333</v>
      </c>
      <c r="K320" s="5" t="n">
        <v>0.6875</v>
      </c>
      <c r="L320" s="5">
        <f>IF(COUNT(J320:K320)=2,K320-J320,0)</f>
        <v/>
      </c>
      <c r="M320" s="6">
        <f>L320*24</f>
        <v/>
      </c>
      <c r="N320" s="3" t="n">
        <v>60</v>
      </c>
      <c r="O320" s="6">
        <f>N320/60</f>
        <v/>
      </c>
      <c r="P320" s="6">
        <f>M320-O320</f>
        <v/>
      </c>
      <c r="Q320" s="6">
        <f>SUMIFS($P:$P,$A:$A,A320,$G:$G,G320)</f>
        <v/>
      </c>
      <c r="R320" s="5" t="n">
        <v>0.4166666666666667</v>
      </c>
      <c r="S320" s="5" t="n">
        <v>0.6041666666666666</v>
      </c>
      <c r="T320" s="5" t="n">
        <v>0.46875</v>
      </c>
      <c r="U320" s="5" t="n">
        <v>0.5104166666666666</v>
      </c>
      <c r="V320" s="3">
        <f>IF(COUNT(T320:U320)=2,ROUND((U320-T320)*1440,0),0)</f>
        <v/>
      </c>
    </row>
    <row r="321">
      <c r="A321" s="2" t="inlineStr">
        <is>
          <t>23333332-8</t>
        </is>
      </c>
      <c r="B321" s="3" t="inlineStr">
        <is>
          <t>Activo</t>
        </is>
      </c>
      <c r="C321" s="3" t="inlineStr">
        <is>
          <t>LUIS MORALES (EJEMPLO)</t>
        </is>
      </c>
      <c r="D321" s="3" t="inlineStr">
        <is>
          <t>EXAMEN Y PROCEDIMIENTOS</t>
        </is>
      </c>
      <c r="E321" s="4" t="n">
        <v>46322</v>
      </c>
      <c r="F321" s="3" t="inlineStr">
        <is>
          <t>Martes</t>
        </is>
      </c>
      <c r="G321" s="4" t="n">
        <v>46321</v>
      </c>
      <c r="H321" s="3" t="inlineStr">
        <is>
          <t>Mañana C/sábado</t>
        </is>
      </c>
      <c r="I321" s="3" t="inlineStr">
        <is>
          <t>TRABAJA</t>
        </is>
      </c>
      <c r="J321" s="5" t="n">
        <v>0.3333333333333333</v>
      </c>
      <c r="K321" s="5" t="n">
        <v>0.6875</v>
      </c>
      <c r="L321" s="5">
        <f>IF(COUNT(J321:K321)=2,K321-J321,0)</f>
        <v/>
      </c>
      <c r="M321" s="6">
        <f>L321*24</f>
        <v/>
      </c>
      <c r="N321" s="3" t="n">
        <v>60</v>
      </c>
      <c r="O321" s="6">
        <f>N321/60</f>
        <v/>
      </c>
      <c r="P321" s="6">
        <f>M321-O321</f>
        <v/>
      </c>
      <c r="Q321" s="6">
        <f>SUMIFS($P:$P,$A:$A,A321,$G:$G,G321)</f>
        <v/>
      </c>
      <c r="R321" s="5" t="n">
        <v>0.4166666666666667</v>
      </c>
      <c r="S321" s="5" t="n">
        <v>0.6041666666666666</v>
      </c>
      <c r="T321" s="5" t="n">
        <v>0.46875</v>
      </c>
      <c r="U321" s="5" t="n">
        <v>0.5104166666666666</v>
      </c>
      <c r="V321" s="3">
        <f>IF(COUNT(T321:U321)=2,ROUND((U321-T321)*1440,0),0)</f>
        <v/>
      </c>
    </row>
    <row r="322">
      <c r="A322" s="2" t="inlineStr">
        <is>
          <t>23333332-8</t>
        </is>
      </c>
      <c r="B322" s="3" t="inlineStr">
        <is>
          <t>Activo</t>
        </is>
      </c>
      <c r="C322" s="3" t="inlineStr">
        <is>
          <t>LUIS MORALES (EJEMPLO)</t>
        </is>
      </c>
      <c r="D322" s="3" t="inlineStr">
        <is>
          <t>EXAMEN Y PROCEDIMIENTOS</t>
        </is>
      </c>
      <c r="E322" s="4" t="n">
        <v>46323</v>
      </c>
      <c r="F322" s="3" t="inlineStr">
        <is>
          <t>Miércoles</t>
        </is>
      </c>
      <c r="G322" s="4" t="n">
        <v>46321</v>
      </c>
      <c r="H322" s="3" t="inlineStr">
        <is>
          <t>Mañana C/sábado</t>
        </is>
      </c>
      <c r="I322" s="3" t="inlineStr">
        <is>
          <t>TRABAJA</t>
        </is>
      </c>
      <c r="J322" s="5" t="n">
        <v>0.3333333333333333</v>
      </c>
      <c r="K322" s="5" t="n">
        <v>0.6875</v>
      </c>
      <c r="L322" s="5">
        <f>IF(COUNT(J322:K322)=2,K322-J322,0)</f>
        <v/>
      </c>
      <c r="M322" s="6">
        <f>L322*24</f>
        <v/>
      </c>
      <c r="N322" s="3" t="n">
        <v>60</v>
      </c>
      <c r="O322" s="6">
        <f>N322/60</f>
        <v/>
      </c>
      <c r="P322" s="6">
        <f>M322-O322</f>
        <v/>
      </c>
      <c r="Q322" s="6">
        <f>SUMIFS($P:$P,$A:$A,A322,$G:$G,G322)</f>
        <v/>
      </c>
      <c r="R322" s="5" t="n">
        <v>0.4166666666666667</v>
      </c>
      <c r="S322" s="5" t="n">
        <v>0.59375</v>
      </c>
      <c r="T322" s="5" t="n">
        <v>0.46875</v>
      </c>
      <c r="U322" s="5" t="n">
        <v>0.5104166666666666</v>
      </c>
      <c r="V322" s="3">
        <f>IF(COUNT(T322:U322)=2,ROUND((U322-T322)*1440,0),0)</f>
        <v/>
      </c>
    </row>
    <row r="323">
      <c r="A323" s="2" t="inlineStr">
        <is>
          <t>23333332-8</t>
        </is>
      </c>
      <c r="B323" s="3" t="inlineStr">
        <is>
          <t>Activo</t>
        </is>
      </c>
      <c r="C323" s="3" t="inlineStr">
        <is>
          <t>LUIS MORALES (EJEMPLO)</t>
        </is>
      </c>
      <c r="D323" s="3" t="inlineStr">
        <is>
          <t>EXAMEN Y PROCEDIMIENTOS</t>
        </is>
      </c>
      <c r="E323" s="4" t="n">
        <v>46324</v>
      </c>
      <c r="F323" s="3" t="inlineStr">
        <is>
          <t>Jueves</t>
        </is>
      </c>
      <c r="G323" s="4" t="n">
        <v>46321</v>
      </c>
      <c r="H323" s="3" t="inlineStr">
        <is>
          <t>Mañana C/sábado</t>
        </is>
      </c>
      <c r="I323" s="3" t="inlineStr">
        <is>
          <t>TRABAJA</t>
        </is>
      </c>
      <c r="J323" s="5" t="n">
        <v>0.3333333333333333</v>
      </c>
      <c r="K323" s="5" t="n">
        <v>0.6666666666666666</v>
      </c>
      <c r="L323" s="5">
        <f>IF(COUNT(J323:K323)=2,K323-J323,0)</f>
        <v/>
      </c>
      <c r="M323" s="6">
        <f>L323*24</f>
        <v/>
      </c>
      <c r="N323" s="3" t="n">
        <v>60</v>
      </c>
      <c r="O323" s="6">
        <f>N323/60</f>
        <v/>
      </c>
      <c r="P323" s="6">
        <f>M323-O323</f>
        <v/>
      </c>
      <c r="Q323" s="6">
        <f>SUMIFS($P:$P,$A:$A,A323,$G:$G,G323)</f>
        <v/>
      </c>
      <c r="R323" s="5" t="n">
        <v>0.4166666666666667</v>
      </c>
      <c r="S323" s="5" t="n">
        <v>0.6354166666666666</v>
      </c>
      <c r="T323" s="5" t="n">
        <v>0.46875</v>
      </c>
      <c r="U323" s="5" t="n">
        <v>0.5104166666666666</v>
      </c>
      <c r="V323" s="3">
        <f>IF(COUNT(T323:U323)=2,ROUND((U323-T323)*1440,0),0)</f>
        <v/>
      </c>
    </row>
    <row r="324">
      <c r="A324" s="2" t="inlineStr">
        <is>
          <t>23333332-8</t>
        </is>
      </c>
      <c r="B324" s="3" t="inlineStr">
        <is>
          <t>Activo</t>
        </is>
      </c>
      <c r="C324" s="3" t="inlineStr">
        <is>
          <t>LUIS MORALES (EJEMPLO)</t>
        </is>
      </c>
      <c r="D324" s="3" t="inlineStr">
        <is>
          <t>EXAMEN Y PROCEDIMIENTOS</t>
        </is>
      </c>
      <c r="E324" s="4" t="n">
        <v>46325</v>
      </c>
      <c r="F324" s="3" t="inlineStr">
        <is>
          <t>Viernes</t>
        </is>
      </c>
      <c r="G324" s="4" t="n">
        <v>46321</v>
      </c>
      <c r="H324" s="3" t="inlineStr">
        <is>
          <t>Mañana C/sábado</t>
        </is>
      </c>
      <c r="I324" s="3" t="inlineStr">
        <is>
          <t>TRABAJA</t>
        </is>
      </c>
      <c r="J324" s="5" t="n">
        <v>0.3333333333333333</v>
      </c>
      <c r="K324" s="5" t="n">
        <v>0.6666666666666666</v>
      </c>
      <c r="L324" s="5">
        <f>IF(COUNT(J324:K324)=2,K324-J324,0)</f>
        <v/>
      </c>
      <c r="M324" s="6">
        <f>L324*24</f>
        <v/>
      </c>
      <c r="N324" s="3" t="n">
        <v>60</v>
      </c>
      <c r="O324" s="6">
        <f>N324/60</f>
        <v/>
      </c>
      <c r="P324" s="6">
        <f>M324-O324</f>
        <v/>
      </c>
      <c r="Q324" s="6">
        <f>SUMIFS($P:$P,$A:$A,A324,$G:$G,G324)</f>
        <v/>
      </c>
      <c r="R324" s="5" t="n">
        <v>0.4166666666666667</v>
      </c>
      <c r="S324" s="5" t="n">
        <v>0.6041666666666666</v>
      </c>
      <c r="T324" s="5" t="n">
        <v>0.46875</v>
      </c>
      <c r="U324" s="5" t="n">
        <v>0.5104166666666666</v>
      </c>
      <c r="V324" s="3">
        <f>IF(COUNT(T324:U324)=2,ROUND((U324-T324)*1440,0),0)</f>
        <v/>
      </c>
    </row>
    <row r="325">
      <c r="A325" s="2" t="inlineStr">
        <is>
          <t>23333332-8</t>
        </is>
      </c>
      <c r="B325" s="3" t="inlineStr">
        <is>
          <t>Activo</t>
        </is>
      </c>
      <c r="C325" s="3" t="inlineStr">
        <is>
          <t>LUIS MORALES (EJEMPLO)</t>
        </is>
      </c>
      <c r="D325" s="3" t="inlineStr">
        <is>
          <t>EXAMEN Y PROCEDIMIENTOS</t>
        </is>
      </c>
      <c r="E325" s="4" t="n">
        <v>46326</v>
      </c>
      <c r="F325" s="3" t="inlineStr">
        <is>
          <t>Sábado</t>
        </is>
      </c>
      <c r="G325" s="4" t="n">
        <v>46321</v>
      </c>
      <c r="H325" s="3" t="inlineStr">
        <is>
          <t>Mañana C/sábado</t>
        </is>
      </c>
      <c r="I325" s="3" t="inlineStr">
        <is>
          <t>FERIADO</t>
        </is>
      </c>
      <c r="J325" s="5" t="n"/>
      <c r="K325" s="5" t="n"/>
      <c r="L325" s="5">
        <f>IF(COUNT(J325:K325)=2,K325-J325,0)</f>
        <v/>
      </c>
      <c r="M325" s="6">
        <f>L325*24</f>
        <v/>
      </c>
      <c r="N325" s="3" t="n">
        <v>0</v>
      </c>
      <c r="O325" s="6">
        <f>N325/60</f>
        <v/>
      </c>
      <c r="P325" s="6">
        <f>M325-O325</f>
        <v/>
      </c>
      <c r="Q325" s="6">
        <f>SUMIFS($P:$P,$A:$A,A325,$G:$G,G325)</f>
        <v/>
      </c>
      <c r="R325" s="5" t="n"/>
      <c r="S325" s="5" t="n"/>
      <c r="T325" s="5" t="n"/>
      <c r="U325" s="5" t="n"/>
      <c r="V325" s="3">
        <f>IF(COUNT(T325:U325)=2,ROUND((U325-T325)*1440,0),0)</f>
        <v/>
      </c>
    </row>
    <row r="326">
      <c r="A326" s="2" t="inlineStr">
        <is>
          <t>24444443-1</t>
        </is>
      </c>
      <c r="B326" s="3" t="inlineStr">
        <is>
          <t>Activo</t>
        </is>
      </c>
      <c r="C326" s="3" t="inlineStr">
        <is>
          <t>MARÍA TORRES (EJEMPLO)</t>
        </is>
      </c>
      <c r="D326" s="3" t="inlineStr">
        <is>
          <t>EXAMEN Y PROCEDIMIENTOS</t>
        </is>
      </c>
      <c r="E326" s="4" t="n">
        <v>46296</v>
      </c>
      <c r="F326" s="3" t="inlineStr">
        <is>
          <t>Jueves</t>
        </is>
      </c>
      <c r="G326" s="4" t="n">
        <v>46293</v>
      </c>
      <c r="H326" s="3" t="inlineStr">
        <is>
          <t>Mañana C/sábado</t>
        </is>
      </c>
      <c r="I326" s="3" t="inlineStr">
        <is>
          <t>TRABAJA</t>
        </is>
      </c>
      <c r="J326" s="5" t="n">
        <v>0.3333333333333333</v>
      </c>
      <c r="K326" s="5" t="n">
        <v>0.6666666666666666</v>
      </c>
      <c r="L326" s="5">
        <f>IF(COUNT(J326:K326)=2,K326-J326,0)</f>
        <v/>
      </c>
      <c r="M326" s="6">
        <f>L326*24</f>
        <v/>
      </c>
      <c r="N326" s="3" t="n">
        <v>60</v>
      </c>
      <c r="O326" s="6">
        <f>N326/60</f>
        <v/>
      </c>
      <c r="P326" s="6">
        <f>M326-O326</f>
        <v/>
      </c>
      <c r="Q326" s="6">
        <f>SUMIFS($P:$P,$A:$A,A326,$G:$G,G326)</f>
        <v/>
      </c>
      <c r="R326" s="5" t="n">
        <v>0.4166666666666667</v>
      </c>
      <c r="S326" s="5" t="n">
        <v>0.59375</v>
      </c>
      <c r="T326" s="5" t="n">
        <v>0.46875</v>
      </c>
      <c r="U326" s="5" t="n">
        <v>0.5104166666666666</v>
      </c>
      <c r="V326" s="3">
        <f>IF(COUNT(T326:U326)=2,ROUND((U326-T326)*1440,0),0)</f>
        <v/>
      </c>
    </row>
    <row r="327">
      <c r="A327" s="2" t="inlineStr">
        <is>
          <t>24444443-1</t>
        </is>
      </c>
      <c r="B327" s="3" t="inlineStr">
        <is>
          <t>Activo</t>
        </is>
      </c>
      <c r="C327" s="3" t="inlineStr">
        <is>
          <t>MARÍA TORRES (EJEMPLO)</t>
        </is>
      </c>
      <c r="D327" s="3" t="inlineStr">
        <is>
          <t>EXAMEN Y PROCEDIMIENTOS</t>
        </is>
      </c>
      <c r="E327" s="4" t="n">
        <v>46297</v>
      </c>
      <c r="F327" s="3" t="inlineStr">
        <is>
          <t>Viernes</t>
        </is>
      </c>
      <c r="G327" s="4" t="n">
        <v>46293</v>
      </c>
      <c r="H327" s="3" t="inlineStr">
        <is>
          <t>Mañana C/sábado</t>
        </is>
      </c>
      <c r="I327" s="3" t="inlineStr">
        <is>
          <t>TRABAJA</t>
        </is>
      </c>
      <c r="J327" s="5" t="n">
        <v>0.3333333333333333</v>
      </c>
      <c r="K327" s="5" t="n">
        <v>0.6666666666666666</v>
      </c>
      <c r="L327" s="5">
        <f>IF(COUNT(J327:K327)=2,K327-J327,0)</f>
        <v/>
      </c>
      <c r="M327" s="6">
        <f>L327*24</f>
        <v/>
      </c>
      <c r="N327" s="3" t="n">
        <v>60</v>
      </c>
      <c r="O327" s="6">
        <f>N327/60</f>
        <v/>
      </c>
      <c r="P327" s="6">
        <f>M327-O327</f>
        <v/>
      </c>
      <c r="Q327" s="6">
        <f>SUMIFS($P:$P,$A:$A,A327,$G:$G,G327)</f>
        <v/>
      </c>
      <c r="R327" s="5" t="n">
        <v>0.4166666666666667</v>
      </c>
      <c r="S327" s="5" t="n">
        <v>0.59375</v>
      </c>
      <c r="T327" s="5" t="n">
        <v>0.46875</v>
      </c>
      <c r="U327" s="5" t="n">
        <v>0.5104166666666666</v>
      </c>
      <c r="V327" s="3">
        <f>IF(COUNT(T327:U327)=2,ROUND((U327-T327)*1440,0),0)</f>
        <v/>
      </c>
    </row>
    <row r="328">
      <c r="A328" s="2" t="inlineStr">
        <is>
          <t>24444443-1</t>
        </is>
      </c>
      <c r="B328" s="3" t="inlineStr">
        <is>
          <t>Activo</t>
        </is>
      </c>
      <c r="C328" s="3" t="inlineStr">
        <is>
          <t>MARÍA TORRES (EJEMPLO)</t>
        </is>
      </c>
      <c r="D328" s="3" t="inlineStr">
        <is>
          <t>EXAMEN Y PROCEDIMIENTOS</t>
        </is>
      </c>
      <c r="E328" s="4" t="n">
        <v>46298</v>
      </c>
      <c r="F328" s="3" t="inlineStr">
        <is>
          <t>Sábado</t>
        </is>
      </c>
      <c r="G328" s="4" t="n">
        <v>46293</v>
      </c>
      <c r="H328" s="3" t="inlineStr">
        <is>
          <t>Mañana C/sábado</t>
        </is>
      </c>
      <c r="I328" s="3" t="inlineStr">
        <is>
          <t>TRABAJA</t>
        </is>
      </c>
      <c r="J328" s="5" t="n">
        <v>0.3333333333333333</v>
      </c>
      <c r="K328" s="5" t="n">
        <v>0.5833333333333334</v>
      </c>
      <c r="L328" s="5">
        <f>IF(COUNT(J328:K328)=2,K328-J328,0)</f>
        <v/>
      </c>
      <c r="M328" s="6">
        <f>L328*24</f>
        <v/>
      </c>
      <c r="N328" s="3" t="n">
        <v>30</v>
      </c>
      <c r="O328" s="6">
        <f>N328/60</f>
        <v/>
      </c>
      <c r="P328" s="6">
        <f>M328-O328</f>
        <v/>
      </c>
      <c r="Q328" s="6">
        <f>SUMIFS($P:$P,$A:$A,A328,$G:$G,G328)</f>
        <v/>
      </c>
      <c r="R328" s="5" t="n"/>
      <c r="S328" s="5" t="n"/>
      <c r="T328" s="5" t="n">
        <v>0.4375</v>
      </c>
      <c r="U328" s="5" t="n">
        <v>0.4583333333333333</v>
      </c>
      <c r="V328" s="3">
        <f>IF(COUNT(T328:U328)=2,ROUND((U328-T328)*1440,0),0)</f>
        <v/>
      </c>
    </row>
    <row r="329">
      <c r="A329" s="2" t="inlineStr">
        <is>
          <t>24444443-1</t>
        </is>
      </c>
      <c r="B329" s="3" t="inlineStr">
        <is>
          <t>Activo</t>
        </is>
      </c>
      <c r="C329" s="3" t="inlineStr">
        <is>
          <t>MARÍA TORRES (EJEMPLO)</t>
        </is>
      </c>
      <c r="D329" s="3" t="inlineStr">
        <is>
          <t>EXAMEN Y PROCEDIMIENTOS</t>
        </is>
      </c>
      <c r="E329" s="4" t="n">
        <v>46300</v>
      </c>
      <c r="F329" s="3" t="inlineStr">
        <is>
          <t>Lunes</t>
        </is>
      </c>
      <c r="G329" s="4" t="n">
        <v>46300</v>
      </c>
      <c r="H329" s="3" t="inlineStr">
        <is>
          <t>Intermedio S/sábado</t>
        </is>
      </c>
      <c r="I329" s="3" t="inlineStr">
        <is>
          <t>TRABAJA</t>
        </is>
      </c>
      <c r="J329" s="5" t="n">
        <v>0.375</v>
      </c>
      <c r="K329" s="5" t="n">
        <v>0.7916666666666666</v>
      </c>
      <c r="L329" s="5">
        <f>IF(COUNT(J329:K329)=2,K329-J329,0)</f>
        <v/>
      </c>
      <c r="M329" s="6">
        <f>L329*24</f>
        <v/>
      </c>
      <c r="N329" s="3" t="n">
        <v>60</v>
      </c>
      <c r="O329" s="6">
        <f>N329/60</f>
        <v/>
      </c>
      <c r="P329" s="6">
        <f>M329-O329</f>
        <v/>
      </c>
      <c r="Q329" s="6">
        <f>SUMIFS($P:$P,$A:$A,A329,$G:$G,G329)</f>
        <v/>
      </c>
      <c r="R329" s="5" t="n">
        <v>0.46875</v>
      </c>
      <c r="S329" s="5" t="n">
        <v>0.6875</v>
      </c>
      <c r="T329" s="5" t="n">
        <v>0.5208333333333334</v>
      </c>
      <c r="U329" s="5" t="n">
        <v>0.5625</v>
      </c>
      <c r="V329" s="3">
        <f>IF(COUNT(T329:U329)=2,ROUND((U329-T329)*1440,0),0)</f>
        <v/>
      </c>
    </row>
    <row r="330">
      <c r="A330" s="2" t="inlineStr">
        <is>
          <t>24444443-1</t>
        </is>
      </c>
      <c r="B330" s="3" t="inlineStr">
        <is>
          <t>Activo</t>
        </is>
      </c>
      <c r="C330" s="3" t="inlineStr">
        <is>
          <t>MARÍA TORRES (EJEMPLO)</t>
        </is>
      </c>
      <c r="D330" s="3" t="inlineStr">
        <is>
          <t>EXAMEN Y PROCEDIMIENTOS</t>
        </is>
      </c>
      <c r="E330" s="4" t="n">
        <v>46301</v>
      </c>
      <c r="F330" s="3" t="inlineStr">
        <is>
          <t>Martes</t>
        </is>
      </c>
      <c r="G330" s="4" t="n">
        <v>46300</v>
      </c>
      <c r="H330" s="3" t="inlineStr">
        <is>
          <t>Intermedio S/sábado</t>
        </is>
      </c>
      <c r="I330" s="3" t="inlineStr">
        <is>
          <t>TRABAJA</t>
        </is>
      </c>
      <c r="J330" s="5" t="n">
        <v>0.375</v>
      </c>
      <c r="K330" s="5" t="n">
        <v>0.7916666666666666</v>
      </c>
      <c r="L330" s="5">
        <f>IF(COUNT(J330:K330)=2,K330-J330,0)</f>
        <v/>
      </c>
      <c r="M330" s="6">
        <f>L330*24</f>
        <v/>
      </c>
      <c r="N330" s="3" t="n">
        <v>60</v>
      </c>
      <c r="O330" s="6">
        <f>N330/60</f>
        <v/>
      </c>
      <c r="P330" s="6">
        <f>M330-O330</f>
        <v/>
      </c>
      <c r="Q330" s="6">
        <f>SUMIFS($P:$P,$A:$A,A330,$G:$G,G330)</f>
        <v/>
      </c>
      <c r="R330" s="5" t="n">
        <v>0.46875</v>
      </c>
      <c r="S330" s="5" t="n">
        <v>0.6875</v>
      </c>
      <c r="T330" s="5" t="n">
        <v>0.5208333333333334</v>
      </c>
      <c r="U330" s="5" t="n">
        <v>0.5625</v>
      </c>
      <c r="V330" s="3">
        <f>IF(COUNT(T330:U330)=2,ROUND((U330-T330)*1440,0),0)</f>
        <v/>
      </c>
    </row>
    <row r="331">
      <c r="A331" s="2" t="inlineStr">
        <is>
          <t>24444443-1</t>
        </is>
      </c>
      <c r="B331" s="3" t="inlineStr">
        <is>
          <t>Activo</t>
        </is>
      </c>
      <c r="C331" s="3" t="inlineStr">
        <is>
          <t>MARÍA TORRES (EJEMPLO)</t>
        </is>
      </c>
      <c r="D331" s="3" t="inlineStr">
        <is>
          <t>EXAMEN Y PROCEDIMIENTOS</t>
        </is>
      </c>
      <c r="E331" s="4" t="n">
        <v>46302</v>
      </c>
      <c r="F331" s="3" t="inlineStr">
        <is>
          <t>Miércoles</t>
        </is>
      </c>
      <c r="G331" s="4" t="n">
        <v>46300</v>
      </c>
      <c r="H331" s="3" t="inlineStr">
        <is>
          <t>Intermedio S/sábado</t>
        </is>
      </c>
      <c r="I331" s="3" t="inlineStr">
        <is>
          <t>TRABAJA</t>
        </is>
      </c>
      <c r="J331" s="5" t="n">
        <v>0.375</v>
      </c>
      <c r="K331" s="5" t="n">
        <v>0.75</v>
      </c>
      <c r="L331" s="5">
        <f>IF(COUNT(J331:K331)=2,K331-J331,0)</f>
        <v/>
      </c>
      <c r="M331" s="6">
        <f>L331*24</f>
        <v/>
      </c>
      <c r="N331" s="3" t="n">
        <v>60</v>
      </c>
      <c r="O331" s="6">
        <f>N331/60</f>
        <v/>
      </c>
      <c r="P331" s="6">
        <f>M331-O331</f>
        <v/>
      </c>
      <c r="Q331" s="6">
        <f>SUMIFS($P:$P,$A:$A,A331,$G:$G,G331)</f>
        <v/>
      </c>
      <c r="R331" s="5" t="n">
        <v>0.46875</v>
      </c>
      <c r="S331" s="5" t="n">
        <v>0.6770833333333334</v>
      </c>
      <c r="T331" s="5" t="n">
        <v>0.5520833333333334</v>
      </c>
      <c r="U331" s="5" t="n">
        <v>0.59375</v>
      </c>
      <c r="V331" s="3">
        <f>IF(COUNT(T331:U331)=2,ROUND((U331-T331)*1440,0),0)</f>
        <v/>
      </c>
    </row>
    <row r="332">
      <c r="A332" s="2" t="inlineStr">
        <is>
          <t>24444443-1</t>
        </is>
      </c>
      <c r="B332" s="3" t="inlineStr">
        <is>
          <t>Activo</t>
        </is>
      </c>
      <c r="C332" s="3" t="inlineStr">
        <is>
          <t>MARÍA TORRES (EJEMPLO)</t>
        </is>
      </c>
      <c r="D332" s="3" t="inlineStr">
        <is>
          <t>EXAMEN Y PROCEDIMIENTOS</t>
        </is>
      </c>
      <c r="E332" s="4" t="n">
        <v>46303</v>
      </c>
      <c r="F332" s="3" t="inlineStr">
        <is>
          <t>Jueves</t>
        </is>
      </c>
      <c r="G332" s="4" t="n">
        <v>46300</v>
      </c>
      <c r="H332" s="3" t="inlineStr">
        <is>
          <t>Intermedio S/sábado</t>
        </is>
      </c>
      <c r="I332" s="3" t="inlineStr">
        <is>
          <t>TRABAJA</t>
        </is>
      </c>
      <c r="J332" s="5" t="n">
        <v>0.375</v>
      </c>
      <c r="K332" s="5" t="n">
        <v>0.75</v>
      </c>
      <c r="L332" s="5">
        <f>IF(COUNT(J332:K332)=2,K332-J332,0)</f>
        <v/>
      </c>
      <c r="M332" s="6">
        <f>L332*24</f>
        <v/>
      </c>
      <c r="N332" s="3" t="n">
        <v>60</v>
      </c>
      <c r="O332" s="6">
        <f>N332/60</f>
        <v/>
      </c>
      <c r="P332" s="6">
        <f>M332-O332</f>
        <v/>
      </c>
      <c r="Q332" s="6">
        <f>SUMIFS($P:$P,$A:$A,A332,$G:$G,G332)</f>
        <v/>
      </c>
      <c r="R332" s="5" t="n">
        <v>0.4791666666666667</v>
      </c>
      <c r="S332" s="5" t="n">
        <v>0.7083333333333334</v>
      </c>
      <c r="T332" s="5" t="n">
        <v>0.5833333333333334</v>
      </c>
      <c r="U332" s="5" t="n">
        <v>0.625</v>
      </c>
      <c r="V332" s="3">
        <f>IF(COUNT(T332:U332)=2,ROUND((U332-T332)*1440,0),0)</f>
        <v/>
      </c>
    </row>
    <row r="333">
      <c r="A333" s="2" t="inlineStr">
        <is>
          <t>24444443-1</t>
        </is>
      </c>
      <c r="B333" s="3" t="inlineStr">
        <is>
          <t>Activo</t>
        </is>
      </c>
      <c r="C333" s="3" t="inlineStr">
        <is>
          <t>MARÍA TORRES (EJEMPLO)</t>
        </is>
      </c>
      <c r="D333" s="3" t="inlineStr">
        <is>
          <t>EXAMEN Y PROCEDIMIENTOS</t>
        </is>
      </c>
      <c r="E333" s="4" t="n">
        <v>46304</v>
      </c>
      <c r="F333" s="3" t="inlineStr">
        <is>
          <t>Viernes</t>
        </is>
      </c>
      <c r="G333" s="4" t="n">
        <v>46300</v>
      </c>
      <c r="H333" s="3" t="inlineStr">
        <is>
          <t>Intermedio S/sábado</t>
        </is>
      </c>
      <c r="I333" s="3" t="inlineStr">
        <is>
          <t>TRABAJA</t>
        </is>
      </c>
      <c r="J333" s="5" t="n">
        <v>0.375</v>
      </c>
      <c r="K333" s="5" t="n">
        <v>0.75</v>
      </c>
      <c r="L333" s="5">
        <f>IF(COUNT(J333:K333)=2,K333-J333,0)</f>
        <v/>
      </c>
      <c r="M333" s="6">
        <f>L333*24</f>
        <v/>
      </c>
      <c r="N333" s="3" t="n">
        <v>60</v>
      </c>
      <c r="O333" s="6">
        <f>N333/60</f>
        <v/>
      </c>
      <c r="P333" s="6">
        <f>M333-O333</f>
        <v/>
      </c>
      <c r="Q333" s="6">
        <f>SUMIFS($P:$P,$A:$A,A333,$G:$G,G333)</f>
        <v/>
      </c>
      <c r="R333" s="5" t="n">
        <v>0.4583333333333333</v>
      </c>
      <c r="S333" s="5" t="n">
        <v>0.65625</v>
      </c>
      <c r="T333" s="5" t="n">
        <v>0.5104166666666666</v>
      </c>
      <c r="U333" s="5" t="n">
        <v>0.5520833333333334</v>
      </c>
      <c r="V333" s="3">
        <f>IF(COUNT(T333:U333)=2,ROUND((U333-T333)*1440,0),0)</f>
        <v/>
      </c>
    </row>
    <row r="334">
      <c r="A334" s="2" t="inlineStr">
        <is>
          <t>24444443-1</t>
        </is>
      </c>
      <c r="B334" s="3" t="inlineStr">
        <is>
          <t>Activo</t>
        </is>
      </c>
      <c r="C334" s="3" t="inlineStr">
        <is>
          <t>MARÍA TORRES (EJEMPLO)</t>
        </is>
      </c>
      <c r="D334" s="3" t="inlineStr">
        <is>
          <t>EXAMEN Y PROCEDIMIENTOS</t>
        </is>
      </c>
      <c r="E334" s="4" t="n">
        <v>46305</v>
      </c>
      <c r="F334" s="3" t="inlineStr">
        <is>
          <t>Sábado</t>
        </is>
      </c>
      <c r="G334" s="4" t="n">
        <v>46300</v>
      </c>
      <c r="H334" s="3" t="inlineStr">
        <is>
          <t>Intermedio S/sábado</t>
        </is>
      </c>
      <c r="I334" s="3" t="inlineStr">
        <is>
          <t>LIBRE</t>
        </is>
      </c>
      <c r="J334" s="5" t="n"/>
      <c r="K334" s="5" t="n"/>
      <c r="L334" s="5">
        <f>IF(COUNT(J334:K334)=2,K334-J334,0)</f>
        <v/>
      </c>
      <c r="M334" s="6">
        <f>L334*24</f>
        <v/>
      </c>
      <c r="N334" s="3" t="n">
        <v>0</v>
      </c>
      <c r="O334" s="6">
        <f>N334/60</f>
        <v/>
      </c>
      <c r="P334" s="6">
        <f>M334-O334</f>
        <v/>
      </c>
      <c r="Q334" s="6">
        <f>SUMIFS($P:$P,$A:$A,A334,$G:$G,G334)</f>
        <v/>
      </c>
      <c r="R334" s="5" t="n"/>
      <c r="S334" s="5" t="n"/>
      <c r="T334" s="5" t="n"/>
      <c r="U334" s="5" t="n"/>
      <c r="V334" s="3">
        <f>IF(COUNT(T334:U334)=2,ROUND((U334-T334)*1440,0),0)</f>
        <v/>
      </c>
    </row>
    <row r="335">
      <c r="A335" s="2" t="inlineStr">
        <is>
          <t>24444443-1</t>
        </is>
      </c>
      <c r="B335" s="3" t="inlineStr">
        <is>
          <t>Activo</t>
        </is>
      </c>
      <c r="C335" s="3" t="inlineStr">
        <is>
          <t>MARÍA TORRES (EJEMPLO)</t>
        </is>
      </c>
      <c r="D335" s="3" t="inlineStr">
        <is>
          <t>EXAMEN Y PROCEDIMIENTOS</t>
        </is>
      </c>
      <c r="E335" s="4" t="n">
        <v>46307</v>
      </c>
      <c r="F335" s="3" t="inlineStr">
        <is>
          <t>Lunes</t>
        </is>
      </c>
      <c r="G335" s="4" t="n">
        <v>46307</v>
      </c>
      <c r="H335" s="3" t="inlineStr">
        <is>
          <t>Intermedio S/sábado</t>
        </is>
      </c>
      <c r="I335" s="3" t="inlineStr">
        <is>
          <t>FERIADO</t>
        </is>
      </c>
      <c r="J335" s="5" t="n"/>
      <c r="K335" s="5" t="n"/>
      <c r="L335" s="5">
        <f>IF(COUNT(J335:K335)=2,K335-J335,0)</f>
        <v/>
      </c>
      <c r="M335" s="6">
        <f>L335*24</f>
        <v/>
      </c>
      <c r="N335" s="3" t="n">
        <v>0</v>
      </c>
      <c r="O335" s="6">
        <f>N335/60</f>
        <v/>
      </c>
      <c r="P335" s="6">
        <f>M335-O335</f>
        <v/>
      </c>
      <c r="Q335" s="6">
        <f>SUMIFS($P:$P,$A:$A,A335,$G:$G,G335)</f>
        <v/>
      </c>
      <c r="R335" s="5" t="n"/>
      <c r="S335" s="5" t="n"/>
      <c r="T335" s="5" t="n"/>
      <c r="U335" s="5" t="n"/>
      <c r="V335" s="3">
        <f>IF(COUNT(T335:U335)=2,ROUND((U335-T335)*1440,0),0)</f>
        <v/>
      </c>
    </row>
    <row r="336">
      <c r="A336" s="2" t="inlineStr">
        <is>
          <t>24444443-1</t>
        </is>
      </c>
      <c r="B336" s="3" t="inlineStr">
        <is>
          <t>Activo</t>
        </is>
      </c>
      <c r="C336" s="3" t="inlineStr">
        <is>
          <t>MARÍA TORRES (EJEMPLO)</t>
        </is>
      </c>
      <c r="D336" s="3" t="inlineStr">
        <is>
          <t>EXAMEN Y PROCEDIMIENTOS</t>
        </is>
      </c>
      <c r="E336" s="4" t="n">
        <v>46308</v>
      </c>
      <c r="F336" s="3" t="inlineStr">
        <is>
          <t>Martes</t>
        </is>
      </c>
      <c r="G336" s="4" t="n">
        <v>46307</v>
      </c>
      <c r="H336" s="3" t="inlineStr">
        <is>
          <t>Intermedio S/sábado</t>
        </is>
      </c>
      <c r="I336" s="3" t="inlineStr">
        <is>
          <t>TRABAJA</t>
        </is>
      </c>
      <c r="J336" s="5" t="n">
        <v>0.375</v>
      </c>
      <c r="K336" s="5" t="n">
        <v>0.7916666666666666</v>
      </c>
      <c r="L336" s="5">
        <f>IF(COUNT(J336:K336)=2,K336-J336,0)</f>
        <v/>
      </c>
      <c r="M336" s="6">
        <f>L336*24</f>
        <v/>
      </c>
      <c r="N336" s="3" t="n">
        <v>60</v>
      </c>
      <c r="O336" s="6">
        <f>N336/60</f>
        <v/>
      </c>
      <c r="P336" s="6">
        <f>M336-O336</f>
        <v/>
      </c>
      <c r="Q336" s="6">
        <f>SUMIFS($P:$P,$A:$A,A336,$G:$G,G336)</f>
        <v/>
      </c>
      <c r="R336" s="5" t="n">
        <v>0.46875</v>
      </c>
      <c r="S336" s="5" t="n">
        <v>0.6875</v>
      </c>
      <c r="T336" s="5" t="n">
        <v>0.5208333333333334</v>
      </c>
      <c r="U336" s="5" t="n">
        <v>0.5625</v>
      </c>
      <c r="V336" s="3">
        <f>IF(COUNT(T336:U336)=2,ROUND((U336-T336)*1440,0),0)</f>
        <v/>
      </c>
    </row>
    <row r="337">
      <c r="A337" s="2" t="inlineStr">
        <is>
          <t>24444443-1</t>
        </is>
      </c>
      <c r="B337" s="3" t="inlineStr">
        <is>
          <t>Activo</t>
        </is>
      </c>
      <c r="C337" s="3" t="inlineStr">
        <is>
          <t>MARÍA TORRES (EJEMPLO)</t>
        </is>
      </c>
      <c r="D337" s="3" t="inlineStr">
        <is>
          <t>EXAMEN Y PROCEDIMIENTOS</t>
        </is>
      </c>
      <c r="E337" s="4" t="n">
        <v>46309</v>
      </c>
      <c r="F337" s="3" t="inlineStr">
        <is>
          <t>Miércoles</t>
        </is>
      </c>
      <c r="G337" s="4" t="n">
        <v>46307</v>
      </c>
      <c r="H337" s="3" t="inlineStr">
        <is>
          <t>Intermedio S/sábado</t>
        </is>
      </c>
      <c r="I337" s="3" t="inlineStr">
        <is>
          <t>TRABAJA</t>
        </is>
      </c>
      <c r="J337" s="5" t="n">
        <v>0.375</v>
      </c>
      <c r="K337" s="5" t="n">
        <v>0.75</v>
      </c>
      <c r="L337" s="5">
        <f>IF(COUNT(J337:K337)=2,K337-J337,0)</f>
        <v/>
      </c>
      <c r="M337" s="6">
        <f>L337*24</f>
        <v/>
      </c>
      <c r="N337" s="3" t="n">
        <v>60</v>
      </c>
      <c r="O337" s="6">
        <f>N337/60</f>
        <v/>
      </c>
      <c r="P337" s="6">
        <f>M337-O337</f>
        <v/>
      </c>
      <c r="Q337" s="6">
        <f>SUMIFS($P:$P,$A:$A,A337,$G:$G,G337)</f>
        <v/>
      </c>
      <c r="R337" s="5" t="n">
        <v>0.46875</v>
      </c>
      <c r="S337" s="5" t="n">
        <v>0.6770833333333334</v>
      </c>
      <c r="T337" s="5" t="n">
        <v>0.5520833333333334</v>
      </c>
      <c r="U337" s="5" t="n">
        <v>0.59375</v>
      </c>
      <c r="V337" s="3">
        <f>IF(COUNT(T337:U337)=2,ROUND((U337-T337)*1440,0),0)</f>
        <v/>
      </c>
    </row>
    <row r="338">
      <c r="A338" s="2" t="inlineStr">
        <is>
          <t>24444443-1</t>
        </is>
      </c>
      <c r="B338" s="3" t="inlineStr">
        <is>
          <t>Activo</t>
        </is>
      </c>
      <c r="C338" s="3" t="inlineStr">
        <is>
          <t>MARÍA TORRES (EJEMPLO)</t>
        </is>
      </c>
      <c r="D338" s="3" t="inlineStr">
        <is>
          <t>EXAMEN Y PROCEDIMIENTOS</t>
        </is>
      </c>
      <c r="E338" s="4" t="n">
        <v>46310</v>
      </c>
      <c r="F338" s="3" t="inlineStr">
        <is>
          <t>Jueves</t>
        </is>
      </c>
      <c r="G338" s="4" t="n">
        <v>46307</v>
      </c>
      <c r="H338" s="3" t="inlineStr">
        <is>
          <t>Intermedio S/sábado</t>
        </is>
      </c>
      <c r="I338" s="3" t="inlineStr">
        <is>
          <t>TRABAJA</t>
        </is>
      </c>
      <c r="J338" s="5" t="n">
        <v>0.375</v>
      </c>
      <c r="K338" s="5" t="n">
        <v>0.75</v>
      </c>
      <c r="L338" s="5">
        <f>IF(COUNT(J338:K338)=2,K338-J338,0)</f>
        <v/>
      </c>
      <c r="M338" s="6">
        <f>L338*24</f>
        <v/>
      </c>
      <c r="N338" s="3" t="n">
        <v>60</v>
      </c>
      <c r="O338" s="6">
        <f>N338/60</f>
        <v/>
      </c>
      <c r="P338" s="6">
        <f>M338-O338</f>
        <v/>
      </c>
      <c r="Q338" s="6">
        <f>SUMIFS($P:$P,$A:$A,A338,$G:$G,G338)</f>
        <v/>
      </c>
      <c r="R338" s="5" t="n">
        <v>0.4791666666666667</v>
      </c>
      <c r="S338" s="5" t="n">
        <v>0.7083333333333334</v>
      </c>
      <c r="T338" s="5" t="n">
        <v>0.5833333333333334</v>
      </c>
      <c r="U338" s="5" t="n">
        <v>0.625</v>
      </c>
      <c r="V338" s="3">
        <f>IF(COUNT(T338:U338)=2,ROUND((U338-T338)*1440,0),0)</f>
        <v/>
      </c>
    </row>
    <row r="339">
      <c r="A339" s="2" t="inlineStr">
        <is>
          <t>24444443-1</t>
        </is>
      </c>
      <c r="B339" s="3" t="inlineStr">
        <is>
          <t>Activo</t>
        </is>
      </c>
      <c r="C339" s="3" t="inlineStr">
        <is>
          <t>MARÍA TORRES (EJEMPLO)</t>
        </is>
      </c>
      <c r="D339" s="3" t="inlineStr">
        <is>
          <t>EXAMEN Y PROCEDIMIENTOS</t>
        </is>
      </c>
      <c r="E339" s="4" t="n">
        <v>46311</v>
      </c>
      <c r="F339" s="3" t="inlineStr">
        <is>
          <t>Viernes</t>
        </is>
      </c>
      <c r="G339" s="4" t="n">
        <v>46307</v>
      </c>
      <c r="H339" s="3" t="inlineStr">
        <is>
          <t>Intermedio S/sábado</t>
        </is>
      </c>
      <c r="I339" s="3" t="inlineStr">
        <is>
          <t>TRABAJA</t>
        </is>
      </c>
      <c r="J339" s="5" t="n">
        <v>0.375</v>
      </c>
      <c r="K339" s="5" t="n">
        <v>0.75</v>
      </c>
      <c r="L339" s="5">
        <f>IF(COUNT(J339:K339)=2,K339-J339,0)</f>
        <v/>
      </c>
      <c r="M339" s="6">
        <f>L339*24</f>
        <v/>
      </c>
      <c r="N339" s="3" t="n">
        <v>60</v>
      </c>
      <c r="O339" s="6">
        <f>N339/60</f>
        <v/>
      </c>
      <c r="P339" s="6">
        <f>M339-O339</f>
        <v/>
      </c>
      <c r="Q339" s="6">
        <f>SUMIFS($P:$P,$A:$A,A339,$G:$G,G339)</f>
        <v/>
      </c>
      <c r="R339" s="5" t="n">
        <v>0.4583333333333333</v>
      </c>
      <c r="S339" s="5" t="n">
        <v>0.65625</v>
      </c>
      <c r="T339" s="5" t="n">
        <v>0.5104166666666666</v>
      </c>
      <c r="U339" s="5" t="n">
        <v>0.5520833333333334</v>
      </c>
      <c r="V339" s="3">
        <f>IF(COUNT(T339:U339)=2,ROUND((U339-T339)*1440,0),0)</f>
        <v/>
      </c>
    </row>
    <row r="340">
      <c r="A340" s="2" t="inlineStr">
        <is>
          <t>24444443-1</t>
        </is>
      </c>
      <c r="B340" s="3" t="inlineStr">
        <is>
          <t>Activo</t>
        </is>
      </c>
      <c r="C340" s="3" t="inlineStr">
        <is>
          <t>MARÍA TORRES (EJEMPLO)</t>
        </is>
      </c>
      <c r="D340" s="3" t="inlineStr">
        <is>
          <t>EXAMEN Y PROCEDIMIENTOS</t>
        </is>
      </c>
      <c r="E340" s="4" t="n">
        <v>46312</v>
      </c>
      <c r="F340" s="3" t="inlineStr">
        <is>
          <t>Sábado</t>
        </is>
      </c>
      <c r="G340" s="4" t="n">
        <v>46307</v>
      </c>
      <c r="H340" s="3" t="inlineStr">
        <is>
          <t>Intermedio S/sábado</t>
        </is>
      </c>
      <c r="I340" s="3" t="inlineStr">
        <is>
          <t>LIBRE</t>
        </is>
      </c>
      <c r="J340" s="5" t="n"/>
      <c r="K340" s="5" t="n"/>
      <c r="L340" s="5">
        <f>IF(COUNT(J340:K340)=2,K340-J340,0)</f>
        <v/>
      </c>
      <c r="M340" s="6">
        <f>L340*24</f>
        <v/>
      </c>
      <c r="N340" s="3" t="n">
        <v>0</v>
      </c>
      <c r="O340" s="6">
        <f>N340/60</f>
        <v/>
      </c>
      <c r="P340" s="6">
        <f>M340-O340</f>
        <v/>
      </c>
      <c r="Q340" s="6">
        <f>SUMIFS($P:$P,$A:$A,A340,$G:$G,G340)</f>
        <v/>
      </c>
      <c r="R340" s="5" t="n"/>
      <c r="S340" s="5" t="n"/>
      <c r="T340" s="5" t="n"/>
      <c r="U340" s="5" t="n"/>
      <c r="V340" s="3">
        <f>IF(COUNT(T340:U340)=2,ROUND((U340-T340)*1440,0),0)</f>
        <v/>
      </c>
    </row>
    <row r="341">
      <c r="A341" s="2" t="inlineStr">
        <is>
          <t>24444443-1</t>
        </is>
      </c>
      <c r="B341" s="3" t="inlineStr">
        <is>
          <t>Activo</t>
        </is>
      </c>
      <c r="C341" s="3" t="inlineStr">
        <is>
          <t>MARÍA TORRES (EJEMPLO)</t>
        </is>
      </c>
      <c r="D341" s="3" t="inlineStr">
        <is>
          <t>EXAMEN Y PROCEDIMIENTOS</t>
        </is>
      </c>
      <c r="E341" s="4" t="n">
        <v>46314</v>
      </c>
      <c r="F341" s="3" t="inlineStr">
        <is>
          <t>Lunes</t>
        </is>
      </c>
      <c r="G341" s="4" t="n">
        <v>46314</v>
      </c>
      <c r="H341" s="3" t="inlineStr">
        <is>
          <t>Mañana C/sábado</t>
        </is>
      </c>
      <c r="I341" s="3" t="inlineStr">
        <is>
          <t>TRABAJA</t>
        </is>
      </c>
      <c r="J341" s="5" t="n">
        <v>0.3333333333333333</v>
      </c>
      <c r="K341" s="5" t="n">
        <v>0.6875</v>
      </c>
      <c r="L341" s="5">
        <f>IF(COUNT(J341:K341)=2,K341-J341,0)</f>
        <v/>
      </c>
      <c r="M341" s="6">
        <f>L341*24</f>
        <v/>
      </c>
      <c r="N341" s="3" t="n">
        <v>60</v>
      </c>
      <c r="O341" s="6">
        <f>N341/60</f>
        <v/>
      </c>
      <c r="P341" s="6">
        <f>M341-O341</f>
        <v/>
      </c>
      <c r="Q341" s="6">
        <f>SUMIFS($P:$P,$A:$A,A341,$G:$G,G341)</f>
        <v/>
      </c>
      <c r="R341" s="5" t="n">
        <v>0.4166666666666667</v>
      </c>
      <c r="S341" s="5" t="n">
        <v>0.59375</v>
      </c>
      <c r="T341" s="5" t="n">
        <v>0.46875</v>
      </c>
      <c r="U341" s="5" t="n">
        <v>0.5104166666666666</v>
      </c>
      <c r="V341" s="3">
        <f>IF(COUNT(T341:U341)=2,ROUND((U341-T341)*1440,0),0)</f>
        <v/>
      </c>
    </row>
    <row r="342">
      <c r="A342" s="2" t="inlineStr">
        <is>
          <t>24444443-1</t>
        </is>
      </c>
      <c r="B342" s="3" t="inlineStr">
        <is>
          <t>Activo</t>
        </is>
      </c>
      <c r="C342" s="3" t="inlineStr">
        <is>
          <t>MARÍA TORRES (EJEMPLO)</t>
        </is>
      </c>
      <c r="D342" s="3" t="inlineStr">
        <is>
          <t>EXAMEN Y PROCEDIMIENTOS</t>
        </is>
      </c>
      <c r="E342" s="4" t="n">
        <v>46315</v>
      </c>
      <c r="F342" s="3" t="inlineStr">
        <is>
          <t>Martes</t>
        </is>
      </c>
      <c r="G342" s="4" t="n">
        <v>46314</v>
      </c>
      <c r="H342" s="3" t="inlineStr">
        <is>
          <t>Mañana C/sábado</t>
        </is>
      </c>
      <c r="I342" s="3" t="inlineStr">
        <is>
          <t>TRABAJA</t>
        </is>
      </c>
      <c r="J342" s="5" t="n">
        <v>0.3333333333333333</v>
      </c>
      <c r="K342" s="5" t="n">
        <v>0.6875</v>
      </c>
      <c r="L342" s="5">
        <f>IF(COUNT(J342:K342)=2,K342-J342,0)</f>
        <v/>
      </c>
      <c r="M342" s="6">
        <f>L342*24</f>
        <v/>
      </c>
      <c r="N342" s="3" t="n">
        <v>60</v>
      </c>
      <c r="O342" s="6">
        <f>N342/60</f>
        <v/>
      </c>
      <c r="P342" s="6">
        <f>M342-O342</f>
        <v/>
      </c>
      <c r="Q342" s="6">
        <f>SUMIFS($P:$P,$A:$A,A342,$G:$G,G342)</f>
        <v/>
      </c>
      <c r="R342" s="5" t="n">
        <v>0.4166666666666667</v>
      </c>
      <c r="S342" s="5" t="n">
        <v>0.59375</v>
      </c>
      <c r="T342" s="5" t="n">
        <v>0.46875</v>
      </c>
      <c r="U342" s="5" t="n">
        <v>0.5104166666666666</v>
      </c>
      <c r="V342" s="3">
        <f>IF(COUNT(T342:U342)=2,ROUND((U342-T342)*1440,0),0)</f>
        <v/>
      </c>
    </row>
    <row r="343">
      <c r="A343" s="2" t="inlineStr">
        <is>
          <t>24444443-1</t>
        </is>
      </c>
      <c r="B343" s="3" t="inlineStr">
        <is>
          <t>Activo</t>
        </is>
      </c>
      <c r="C343" s="3" t="inlineStr">
        <is>
          <t>MARÍA TORRES (EJEMPLO)</t>
        </is>
      </c>
      <c r="D343" s="3" t="inlineStr">
        <is>
          <t>EXAMEN Y PROCEDIMIENTOS</t>
        </is>
      </c>
      <c r="E343" s="4" t="n">
        <v>46316</v>
      </c>
      <c r="F343" s="3" t="inlineStr">
        <is>
          <t>Miércoles</t>
        </is>
      </c>
      <c r="G343" s="4" t="n">
        <v>46314</v>
      </c>
      <c r="H343" s="3" t="inlineStr">
        <is>
          <t>Mañana C/sábado</t>
        </is>
      </c>
      <c r="I343" s="3" t="inlineStr">
        <is>
          <t>TRABAJA</t>
        </is>
      </c>
      <c r="J343" s="5" t="n">
        <v>0.3333333333333333</v>
      </c>
      <c r="K343" s="5" t="n">
        <v>0.6875</v>
      </c>
      <c r="L343" s="5">
        <f>IF(COUNT(J343:K343)=2,K343-J343,0)</f>
        <v/>
      </c>
      <c r="M343" s="6">
        <f>L343*24</f>
        <v/>
      </c>
      <c r="N343" s="3" t="n">
        <v>60</v>
      </c>
      <c r="O343" s="6">
        <f>N343/60</f>
        <v/>
      </c>
      <c r="P343" s="6">
        <f>M343-O343</f>
        <v/>
      </c>
      <c r="Q343" s="6">
        <f>SUMIFS($P:$P,$A:$A,A343,$G:$G,G343)</f>
        <v/>
      </c>
      <c r="R343" s="5" t="n">
        <v>0.4166666666666667</v>
      </c>
      <c r="S343" s="5" t="n">
        <v>0.6145833333333334</v>
      </c>
      <c r="T343" s="5" t="n">
        <v>0.46875</v>
      </c>
      <c r="U343" s="5" t="n">
        <v>0.5104166666666666</v>
      </c>
      <c r="V343" s="3">
        <f>IF(COUNT(T343:U343)=2,ROUND((U343-T343)*1440,0),0)</f>
        <v/>
      </c>
    </row>
    <row r="344">
      <c r="A344" s="2" t="inlineStr">
        <is>
          <t>24444443-1</t>
        </is>
      </c>
      <c r="B344" s="3" t="inlineStr">
        <is>
          <t>Activo</t>
        </is>
      </c>
      <c r="C344" s="3" t="inlineStr">
        <is>
          <t>MARÍA TORRES (EJEMPLO)</t>
        </is>
      </c>
      <c r="D344" s="3" t="inlineStr">
        <is>
          <t>EXAMEN Y PROCEDIMIENTOS</t>
        </is>
      </c>
      <c r="E344" s="4" t="n">
        <v>46317</v>
      </c>
      <c r="F344" s="3" t="inlineStr">
        <is>
          <t>Jueves</t>
        </is>
      </c>
      <c r="G344" s="4" t="n">
        <v>46314</v>
      </c>
      <c r="H344" s="3" t="inlineStr">
        <is>
          <t>Mañana C/sábado</t>
        </is>
      </c>
      <c r="I344" s="3" t="inlineStr">
        <is>
          <t>TRABAJA</t>
        </is>
      </c>
      <c r="J344" s="5" t="n">
        <v>0.3333333333333333</v>
      </c>
      <c r="K344" s="5" t="n">
        <v>0.6666666666666666</v>
      </c>
      <c r="L344" s="5">
        <f>IF(COUNT(J344:K344)=2,K344-J344,0)</f>
        <v/>
      </c>
      <c r="M344" s="6">
        <f>L344*24</f>
        <v/>
      </c>
      <c r="N344" s="3" t="n">
        <v>60</v>
      </c>
      <c r="O344" s="6">
        <f>N344/60</f>
        <v/>
      </c>
      <c r="P344" s="6">
        <f>M344-O344</f>
        <v/>
      </c>
      <c r="Q344" s="6">
        <f>SUMIFS($P:$P,$A:$A,A344,$G:$G,G344)</f>
        <v/>
      </c>
      <c r="R344" s="5" t="n">
        <v>0.4166666666666667</v>
      </c>
      <c r="S344" s="5" t="n">
        <v>0.59375</v>
      </c>
      <c r="T344" s="5" t="n">
        <v>0.46875</v>
      </c>
      <c r="U344" s="5" t="n">
        <v>0.5104166666666666</v>
      </c>
      <c r="V344" s="3">
        <f>IF(COUNT(T344:U344)=2,ROUND((U344-T344)*1440,0),0)</f>
        <v/>
      </c>
    </row>
    <row r="345">
      <c r="A345" s="2" t="inlineStr">
        <is>
          <t>24444443-1</t>
        </is>
      </c>
      <c r="B345" s="3" t="inlineStr">
        <is>
          <t>Activo</t>
        </is>
      </c>
      <c r="C345" s="3" t="inlineStr">
        <is>
          <t>MARÍA TORRES (EJEMPLO)</t>
        </is>
      </c>
      <c r="D345" s="3" t="inlineStr">
        <is>
          <t>EXAMEN Y PROCEDIMIENTOS</t>
        </is>
      </c>
      <c r="E345" s="4" t="n">
        <v>46318</v>
      </c>
      <c r="F345" s="3" t="inlineStr">
        <is>
          <t>Viernes</t>
        </is>
      </c>
      <c r="G345" s="4" t="n">
        <v>46314</v>
      </c>
      <c r="H345" s="3" t="inlineStr">
        <is>
          <t>Mañana C/sábado</t>
        </is>
      </c>
      <c r="I345" s="3" t="inlineStr">
        <is>
          <t>TRABAJA</t>
        </is>
      </c>
      <c r="J345" s="5" t="n">
        <v>0.3333333333333333</v>
      </c>
      <c r="K345" s="5" t="n">
        <v>0.6666666666666666</v>
      </c>
      <c r="L345" s="5">
        <f>IF(COUNT(J345:K345)=2,K345-J345,0)</f>
        <v/>
      </c>
      <c r="M345" s="6">
        <f>L345*24</f>
        <v/>
      </c>
      <c r="N345" s="3" t="n">
        <v>60</v>
      </c>
      <c r="O345" s="6">
        <f>N345/60</f>
        <v/>
      </c>
      <c r="P345" s="6">
        <f>M345-O345</f>
        <v/>
      </c>
      <c r="Q345" s="6">
        <f>SUMIFS($P:$P,$A:$A,A345,$G:$G,G345)</f>
        <v/>
      </c>
      <c r="R345" s="5" t="n">
        <v>0.4166666666666667</v>
      </c>
      <c r="S345" s="5" t="n">
        <v>0.59375</v>
      </c>
      <c r="T345" s="5" t="n">
        <v>0.46875</v>
      </c>
      <c r="U345" s="5" t="n">
        <v>0.5104166666666666</v>
      </c>
      <c r="V345" s="3">
        <f>IF(COUNT(T345:U345)=2,ROUND((U345-T345)*1440,0),0)</f>
        <v/>
      </c>
    </row>
    <row r="346">
      <c r="A346" s="2" t="inlineStr">
        <is>
          <t>24444443-1</t>
        </is>
      </c>
      <c r="B346" s="3" t="inlineStr">
        <is>
          <t>Activo</t>
        </is>
      </c>
      <c r="C346" s="3" t="inlineStr">
        <is>
          <t>MARÍA TORRES (EJEMPLO)</t>
        </is>
      </c>
      <c r="D346" s="3" t="inlineStr">
        <is>
          <t>EXAMEN Y PROCEDIMIENTOS</t>
        </is>
      </c>
      <c r="E346" s="4" t="n">
        <v>46319</v>
      </c>
      <c r="F346" s="3" t="inlineStr">
        <is>
          <t>Sábado</t>
        </is>
      </c>
      <c r="G346" s="4" t="n">
        <v>46314</v>
      </c>
      <c r="H346" s="3" t="inlineStr">
        <is>
          <t>Mañana C/sábado</t>
        </is>
      </c>
      <c r="I346" s="3" t="inlineStr">
        <is>
          <t>TRABAJA</t>
        </is>
      </c>
      <c r="J346" s="5" t="n">
        <v>0.3333333333333333</v>
      </c>
      <c r="K346" s="5" t="n">
        <v>0.5833333333333334</v>
      </c>
      <c r="L346" s="5">
        <f>IF(COUNT(J346:K346)=2,K346-J346,0)</f>
        <v/>
      </c>
      <c r="M346" s="6">
        <f>L346*24</f>
        <v/>
      </c>
      <c r="N346" s="3" t="n">
        <v>30</v>
      </c>
      <c r="O346" s="6">
        <f>N346/60</f>
        <v/>
      </c>
      <c r="P346" s="6">
        <f>M346-O346</f>
        <v/>
      </c>
      <c r="Q346" s="6">
        <f>SUMIFS($P:$P,$A:$A,A346,$G:$G,G346)</f>
        <v/>
      </c>
      <c r="R346" s="5" t="n"/>
      <c r="S346" s="5" t="n"/>
      <c r="T346" s="5" t="n">
        <v>0.4375</v>
      </c>
      <c r="U346" s="5" t="n">
        <v>0.4583333333333333</v>
      </c>
      <c r="V346" s="3">
        <f>IF(COUNT(T346:U346)=2,ROUND((U346-T346)*1440,0),0)</f>
        <v/>
      </c>
    </row>
    <row r="347">
      <c r="A347" s="2" t="inlineStr">
        <is>
          <t>24444443-1</t>
        </is>
      </c>
      <c r="B347" s="3" t="inlineStr">
        <is>
          <t>Activo</t>
        </is>
      </c>
      <c r="C347" s="3" t="inlineStr">
        <is>
          <t>MARÍA TORRES (EJEMPLO)</t>
        </is>
      </c>
      <c r="D347" s="3" t="inlineStr">
        <is>
          <t>EXAMEN Y PROCEDIMIENTOS</t>
        </is>
      </c>
      <c r="E347" s="4" t="n">
        <v>46321</v>
      </c>
      <c r="F347" s="3" t="inlineStr">
        <is>
          <t>Lunes</t>
        </is>
      </c>
      <c r="G347" s="4" t="n">
        <v>46321</v>
      </c>
      <c r="H347" s="3" t="inlineStr">
        <is>
          <t>Tarde S/sábado</t>
        </is>
      </c>
      <c r="I347" s="3" t="inlineStr">
        <is>
          <t>TRABAJA</t>
        </is>
      </c>
      <c r="J347" s="5" t="n">
        <v>0.4375</v>
      </c>
      <c r="K347" s="5" t="n">
        <v>0.8333333333333334</v>
      </c>
      <c r="L347" s="5">
        <f>IF(COUNT(J347:K347)=2,K347-J347,0)</f>
        <v/>
      </c>
      <c r="M347" s="6">
        <f>L347*24</f>
        <v/>
      </c>
      <c r="N347" s="3" t="n">
        <v>60</v>
      </c>
      <c r="O347" s="6">
        <f>N347/60</f>
        <v/>
      </c>
      <c r="P347" s="6">
        <f>M347-O347</f>
        <v/>
      </c>
      <c r="Q347" s="6">
        <f>SUMIFS($P:$P,$A:$A,A347,$G:$G,G347)</f>
        <v/>
      </c>
      <c r="R347" s="5" t="n">
        <v>0.5416666666666666</v>
      </c>
      <c r="S347" s="5" t="n">
        <v>0.8020833333333334</v>
      </c>
      <c r="T347" s="5" t="n">
        <v>0.6770833333333334</v>
      </c>
      <c r="U347" s="5" t="n">
        <v>0.71875</v>
      </c>
      <c r="V347" s="3">
        <f>IF(COUNT(T347:U347)=2,ROUND((U347-T347)*1440,0),0)</f>
        <v/>
      </c>
    </row>
    <row r="348">
      <c r="A348" s="2" t="inlineStr">
        <is>
          <t>24444443-1</t>
        </is>
      </c>
      <c r="B348" s="3" t="inlineStr">
        <is>
          <t>Activo</t>
        </is>
      </c>
      <c r="C348" s="3" t="inlineStr">
        <is>
          <t>MARÍA TORRES (EJEMPLO)</t>
        </is>
      </c>
      <c r="D348" s="3" t="inlineStr">
        <is>
          <t>EXAMEN Y PROCEDIMIENTOS</t>
        </is>
      </c>
      <c r="E348" s="4" t="n">
        <v>46322</v>
      </c>
      <c r="F348" s="3" t="inlineStr">
        <is>
          <t>Martes</t>
        </is>
      </c>
      <c r="G348" s="4" t="n">
        <v>46321</v>
      </c>
      <c r="H348" s="3" t="inlineStr">
        <is>
          <t>Tarde S/sábado</t>
        </is>
      </c>
      <c r="I348" s="3" t="inlineStr">
        <is>
          <t>TRABAJA</t>
        </is>
      </c>
      <c r="J348" s="5" t="n">
        <v>0.4375</v>
      </c>
      <c r="K348" s="5" t="n">
        <v>0.8333333333333334</v>
      </c>
      <c r="L348" s="5">
        <f>IF(COUNT(J348:K348)=2,K348-J348,0)</f>
        <v/>
      </c>
      <c r="M348" s="6">
        <f>L348*24</f>
        <v/>
      </c>
      <c r="N348" s="3" t="n">
        <v>60</v>
      </c>
      <c r="O348" s="6">
        <f>N348/60</f>
        <v/>
      </c>
      <c r="P348" s="6">
        <f>M348-O348</f>
        <v/>
      </c>
      <c r="Q348" s="6">
        <f>SUMIFS($P:$P,$A:$A,A348,$G:$G,G348)</f>
        <v/>
      </c>
      <c r="R348" s="5" t="n">
        <v>0.5416666666666666</v>
      </c>
      <c r="S348" s="5" t="n">
        <v>0.8020833333333334</v>
      </c>
      <c r="T348" s="5" t="n">
        <v>0.6770833333333334</v>
      </c>
      <c r="U348" s="5" t="n">
        <v>0.71875</v>
      </c>
      <c r="V348" s="3">
        <f>IF(COUNT(T348:U348)=2,ROUND((U348-T348)*1440,0),0)</f>
        <v/>
      </c>
    </row>
    <row r="349">
      <c r="A349" s="2" t="inlineStr">
        <is>
          <t>24444443-1</t>
        </is>
      </c>
      <c r="B349" s="3" t="inlineStr">
        <is>
          <t>Activo</t>
        </is>
      </c>
      <c r="C349" s="3" t="inlineStr">
        <is>
          <t>MARÍA TORRES (EJEMPLO)</t>
        </is>
      </c>
      <c r="D349" s="3" t="inlineStr">
        <is>
          <t>EXAMEN Y PROCEDIMIENTOS</t>
        </is>
      </c>
      <c r="E349" s="4" t="n">
        <v>46323</v>
      </c>
      <c r="F349" s="3" t="inlineStr">
        <is>
          <t>Miércoles</t>
        </is>
      </c>
      <c r="G349" s="4" t="n">
        <v>46321</v>
      </c>
      <c r="H349" s="3" t="inlineStr">
        <is>
          <t>Tarde S/sábado</t>
        </is>
      </c>
      <c r="I349" s="3" t="inlineStr">
        <is>
          <t>TRABAJA</t>
        </is>
      </c>
      <c r="J349" s="5" t="n">
        <v>0.4375</v>
      </c>
      <c r="K349" s="5" t="n">
        <v>0.8333333333333334</v>
      </c>
      <c r="L349" s="5">
        <f>IF(COUNT(J349:K349)=2,K349-J349,0)</f>
        <v/>
      </c>
      <c r="M349" s="6">
        <f>L349*24</f>
        <v/>
      </c>
      <c r="N349" s="3" t="n">
        <v>60</v>
      </c>
      <c r="O349" s="6">
        <f>N349/60</f>
        <v/>
      </c>
      <c r="P349" s="6">
        <f>M349-O349</f>
        <v/>
      </c>
      <c r="Q349" s="6">
        <f>SUMIFS($P:$P,$A:$A,A349,$G:$G,G349)</f>
        <v/>
      </c>
      <c r="R349" s="5" t="n">
        <v>0.5416666666666666</v>
      </c>
      <c r="S349" s="5" t="n">
        <v>0.8020833333333334</v>
      </c>
      <c r="T349" s="5" t="n">
        <v>0.6770833333333334</v>
      </c>
      <c r="U349" s="5" t="n">
        <v>0.71875</v>
      </c>
      <c r="V349" s="3">
        <f>IF(COUNT(T349:U349)=2,ROUND((U349-T349)*1440,0),0)</f>
        <v/>
      </c>
    </row>
    <row r="350">
      <c r="A350" s="2" t="inlineStr">
        <is>
          <t>24444443-1</t>
        </is>
      </c>
      <c r="B350" s="3" t="inlineStr">
        <is>
          <t>Activo</t>
        </is>
      </c>
      <c r="C350" s="3" t="inlineStr">
        <is>
          <t>MARÍA TORRES (EJEMPLO)</t>
        </is>
      </c>
      <c r="D350" s="3" t="inlineStr">
        <is>
          <t>EXAMEN Y PROCEDIMIENTOS</t>
        </is>
      </c>
      <c r="E350" s="4" t="n">
        <v>46324</v>
      </c>
      <c r="F350" s="3" t="inlineStr">
        <is>
          <t>Jueves</t>
        </is>
      </c>
      <c r="G350" s="4" t="n">
        <v>46321</v>
      </c>
      <c r="H350" s="3" t="inlineStr">
        <is>
          <t>Tarde S/sábado</t>
        </is>
      </c>
      <c r="I350" s="3" t="inlineStr">
        <is>
          <t>TRABAJA</t>
        </is>
      </c>
      <c r="J350" s="5" t="n">
        <v>0.4375</v>
      </c>
      <c r="K350" s="5" t="n">
        <v>0.8333333333333334</v>
      </c>
      <c r="L350" s="5">
        <f>IF(COUNT(J350:K350)=2,K350-J350,0)</f>
        <v/>
      </c>
      <c r="M350" s="6">
        <f>L350*24</f>
        <v/>
      </c>
      <c r="N350" s="3" t="n">
        <v>60</v>
      </c>
      <c r="O350" s="6">
        <f>N350/60</f>
        <v/>
      </c>
      <c r="P350" s="6">
        <f>M350-O350</f>
        <v/>
      </c>
      <c r="Q350" s="6">
        <f>SUMIFS($P:$P,$A:$A,A350,$G:$G,G350)</f>
        <v/>
      </c>
      <c r="R350" s="5" t="n">
        <v>0.53125</v>
      </c>
      <c r="S350" s="5" t="n">
        <v>0.78125</v>
      </c>
      <c r="T350" s="5" t="n">
        <v>0.65625</v>
      </c>
      <c r="U350" s="5" t="n">
        <v>0.6979166666666666</v>
      </c>
      <c r="V350" s="3">
        <f>IF(COUNT(T350:U350)=2,ROUND((U350-T350)*1440,0),0)</f>
        <v/>
      </c>
    </row>
    <row r="351">
      <c r="A351" s="2" t="inlineStr">
        <is>
          <t>24444443-1</t>
        </is>
      </c>
      <c r="B351" s="3" t="inlineStr">
        <is>
          <t>Activo</t>
        </is>
      </c>
      <c r="C351" s="3" t="inlineStr">
        <is>
          <t>MARÍA TORRES (EJEMPLO)</t>
        </is>
      </c>
      <c r="D351" s="3" t="inlineStr">
        <is>
          <t>EXAMEN Y PROCEDIMIENTOS</t>
        </is>
      </c>
      <c r="E351" s="4" t="n">
        <v>46325</v>
      </c>
      <c r="F351" s="3" t="inlineStr">
        <is>
          <t>Viernes</t>
        </is>
      </c>
      <c r="G351" s="4" t="n">
        <v>46321</v>
      </c>
      <c r="H351" s="3" t="inlineStr">
        <is>
          <t>Tarde S/sábado</t>
        </is>
      </c>
      <c r="I351" s="3" t="inlineStr">
        <is>
          <t>TRABAJA</t>
        </is>
      </c>
      <c r="J351" s="5" t="n">
        <v>0.4583333333333333</v>
      </c>
      <c r="K351" s="5" t="n">
        <v>0.8333333333333334</v>
      </c>
      <c r="L351" s="5">
        <f>IF(COUNT(J351:K351)=2,K351-J351,0)</f>
        <v/>
      </c>
      <c r="M351" s="6">
        <f>L351*24</f>
        <v/>
      </c>
      <c r="N351" s="3" t="n">
        <v>60</v>
      </c>
      <c r="O351" s="6">
        <f>N351/60</f>
        <v/>
      </c>
      <c r="P351" s="6">
        <f>M351-O351</f>
        <v/>
      </c>
      <c r="Q351" s="6">
        <f>SUMIFS($P:$P,$A:$A,A351,$G:$G,G351)</f>
        <v/>
      </c>
      <c r="R351" s="5" t="n">
        <v>0.5416666666666666</v>
      </c>
      <c r="S351" s="5" t="n">
        <v>0.7708333333333334</v>
      </c>
      <c r="T351" s="5" t="n">
        <v>0.6458333333333334</v>
      </c>
      <c r="U351" s="5" t="n">
        <v>0.6875</v>
      </c>
      <c r="V351" s="3">
        <f>IF(COUNT(T351:U351)=2,ROUND((U351-T351)*1440,0),0)</f>
        <v/>
      </c>
    </row>
    <row r="352">
      <c r="A352" s="2" t="inlineStr">
        <is>
          <t>24444443-1</t>
        </is>
      </c>
      <c r="B352" s="3" t="inlineStr">
        <is>
          <t>Activo</t>
        </is>
      </c>
      <c r="C352" s="3" t="inlineStr">
        <is>
          <t>MARÍA TORRES (EJEMPLO)</t>
        </is>
      </c>
      <c r="D352" s="3" t="inlineStr">
        <is>
          <t>EXAMEN Y PROCEDIMIENTOS</t>
        </is>
      </c>
      <c r="E352" s="4" t="n">
        <v>46326</v>
      </c>
      <c r="F352" s="3" t="inlineStr">
        <is>
          <t>Sábado</t>
        </is>
      </c>
      <c r="G352" s="4" t="n">
        <v>46321</v>
      </c>
      <c r="H352" s="3" t="inlineStr">
        <is>
          <t>Tarde S/sábado</t>
        </is>
      </c>
      <c r="I352" s="3" t="inlineStr">
        <is>
          <t>FERIADO</t>
        </is>
      </c>
      <c r="J352" s="5" t="n"/>
      <c r="K352" s="5" t="n"/>
      <c r="L352" s="5">
        <f>IF(COUNT(J352:K352)=2,K352-J352,0)</f>
        <v/>
      </c>
      <c r="M352" s="6">
        <f>L352*24</f>
        <v/>
      </c>
      <c r="N352" s="3" t="n">
        <v>0</v>
      </c>
      <c r="O352" s="6">
        <f>N352/60</f>
        <v/>
      </c>
      <c r="P352" s="6">
        <f>M352-O352</f>
        <v/>
      </c>
      <c r="Q352" s="6">
        <f>SUMIFS($P:$P,$A:$A,A352,$G:$G,G352)</f>
        <v/>
      </c>
      <c r="R352" s="5" t="n"/>
      <c r="S352" s="5" t="n"/>
      <c r="T352" s="5" t="n"/>
      <c r="U352" s="5" t="n"/>
      <c r="V352" s="3">
        <f>IF(COUNT(T352:U352)=2,ROUND((U352-T352)*1440,0),0)</f>
        <v/>
      </c>
    </row>
    <row r="353">
      <c r="A353" s="2" t="inlineStr">
        <is>
          <t>25555554-5</t>
        </is>
      </c>
      <c r="B353" s="3" t="inlineStr">
        <is>
          <t>Activo</t>
        </is>
      </c>
      <c r="C353" s="3" t="inlineStr">
        <is>
          <t>NICOLÁS PAREDES (EJEMPLO)</t>
        </is>
      </c>
      <c r="D353" s="3" t="inlineStr">
        <is>
          <t>IMAGENES</t>
        </is>
      </c>
      <c r="E353" s="4" t="n">
        <v>46296</v>
      </c>
      <c r="F353" s="3" t="inlineStr">
        <is>
          <t>Jueves</t>
        </is>
      </c>
      <c r="G353" s="4" t="n">
        <v>46293</v>
      </c>
      <c r="H353" s="3" t="inlineStr">
        <is>
          <t>Intermedio S/sábado</t>
        </is>
      </c>
      <c r="I353" s="3" t="inlineStr">
        <is>
          <t>TRABAJA</t>
        </is>
      </c>
      <c r="J353" s="5" t="n">
        <v>0.375</v>
      </c>
      <c r="K353" s="5" t="n">
        <v>0.75</v>
      </c>
      <c r="L353" s="5">
        <f>IF(COUNT(J353:K353)=2,K353-J353,0)</f>
        <v/>
      </c>
      <c r="M353" s="6">
        <f>L353*24</f>
        <v/>
      </c>
      <c r="N353" s="3" t="n">
        <v>60</v>
      </c>
      <c r="O353" s="6">
        <f>N353/60</f>
        <v/>
      </c>
      <c r="P353" s="6">
        <f>M353-O353</f>
        <v/>
      </c>
      <c r="Q353" s="6">
        <f>SUMIFS($P:$P,$A:$A,A353,$G:$G,G353)</f>
        <v/>
      </c>
      <c r="R353" s="5" t="n">
        <v>0.4583333333333333</v>
      </c>
      <c r="S353" s="5" t="n">
        <v>0.6770833333333334</v>
      </c>
      <c r="T353" s="5" t="n">
        <v>0.5520833333333334</v>
      </c>
      <c r="U353" s="5" t="n">
        <v>0.59375</v>
      </c>
      <c r="V353" s="3">
        <f>IF(COUNT(T353:U353)=2,ROUND((U353-T353)*1440,0),0)</f>
        <v/>
      </c>
    </row>
    <row r="354">
      <c r="A354" s="2" t="inlineStr">
        <is>
          <t>25555554-5</t>
        </is>
      </c>
      <c r="B354" s="3" t="inlineStr">
        <is>
          <t>Activo</t>
        </is>
      </c>
      <c r="C354" s="3" t="inlineStr">
        <is>
          <t>NICOLÁS PAREDES (EJEMPLO)</t>
        </is>
      </c>
      <c r="D354" s="3" t="inlineStr">
        <is>
          <t>IMAGENES</t>
        </is>
      </c>
      <c r="E354" s="4" t="n">
        <v>46297</v>
      </c>
      <c r="F354" s="3" t="inlineStr">
        <is>
          <t>Viernes</t>
        </is>
      </c>
      <c r="G354" s="4" t="n">
        <v>46293</v>
      </c>
      <c r="H354" s="3" t="inlineStr">
        <is>
          <t>Intermedio S/sábado</t>
        </is>
      </c>
      <c r="I354" s="3" t="inlineStr">
        <is>
          <t>TRABAJA</t>
        </is>
      </c>
      <c r="J354" s="5" t="n">
        <v>0.375</v>
      </c>
      <c r="K354" s="5" t="n">
        <v>0.75</v>
      </c>
      <c r="L354" s="5">
        <f>IF(COUNT(J354:K354)=2,K354-J354,0)</f>
        <v/>
      </c>
      <c r="M354" s="6">
        <f>L354*24</f>
        <v/>
      </c>
      <c r="N354" s="3" t="n">
        <v>60</v>
      </c>
      <c r="O354" s="6">
        <f>N354/60</f>
        <v/>
      </c>
      <c r="P354" s="6">
        <f>M354-O354</f>
        <v/>
      </c>
      <c r="Q354" s="6">
        <f>SUMIFS($P:$P,$A:$A,A354,$G:$G,G354)</f>
        <v/>
      </c>
      <c r="R354" s="5" t="n">
        <v>0.46875</v>
      </c>
      <c r="S354" s="5" t="n">
        <v>0.7083333333333334</v>
      </c>
      <c r="T354" s="5" t="n">
        <v>0.5520833333333334</v>
      </c>
      <c r="U354" s="5" t="n">
        <v>0.59375</v>
      </c>
      <c r="V354" s="3">
        <f>IF(COUNT(T354:U354)=2,ROUND((U354-T354)*1440,0),0)</f>
        <v/>
      </c>
    </row>
    <row r="355">
      <c r="A355" s="2" t="inlineStr">
        <is>
          <t>25555554-5</t>
        </is>
      </c>
      <c r="B355" s="3" t="inlineStr">
        <is>
          <t>Activo</t>
        </is>
      </c>
      <c r="C355" s="3" t="inlineStr">
        <is>
          <t>NICOLÁS PAREDES (EJEMPLO)</t>
        </is>
      </c>
      <c r="D355" s="3" t="inlineStr">
        <is>
          <t>IMAGENES</t>
        </is>
      </c>
      <c r="E355" s="4" t="n">
        <v>46298</v>
      </c>
      <c r="F355" s="3" t="inlineStr">
        <is>
          <t>Sábado</t>
        </is>
      </c>
      <c r="G355" s="4" t="n">
        <v>46293</v>
      </c>
      <c r="H355" s="3" t="inlineStr">
        <is>
          <t>Intermedio S/sábado</t>
        </is>
      </c>
      <c r="I355" s="3" t="inlineStr">
        <is>
          <t>LIBRE</t>
        </is>
      </c>
      <c r="J355" s="5" t="n"/>
      <c r="K355" s="5" t="n"/>
      <c r="L355" s="5">
        <f>IF(COUNT(J355:K355)=2,K355-J355,0)</f>
        <v/>
      </c>
      <c r="M355" s="6">
        <f>L355*24</f>
        <v/>
      </c>
      <c r="N355" s="3" t="n">
        <v>0</v>
      </c>
      <c r="O355" s="6">
        <f>N355/60</f>
        <v/>
      </c>
      <c r="P355" s="6">
        <f>M355-O355</f>
        <v/>
      </c>
      <c r="Q355" s="6">
        <f>SUMIFS($P:$P,$A:$A,A355,$G:$G,G355)</f>
        <v/>
      </c>
      <c r="R355" s="5" t="n"/>
      <c r="S355" s="5" t="n"/>
      <c r="T355" s="5" t="n"/>
      <c r="U355" s="5" t="n"/>
      <c r="V355" s="3">
        <f>IF(COUNT(T355:U355)=2,ROUND((U355-T355)*1440,0),0)</f>
        <v/>
      </c>
    </row>
    <row r="356">
      <c r="A356" s="2" t="inlineStr">
        <is>
          <t>25555554-5</t>
        </is>
      </c>
      <c r="B356" s="3" t="inlineStr">
        <is>
          <t>Activo</t>
        </is>
      </c>
      <c r="C356" s="3" t="inlineStr">
        <is>
          <t>NICOLÁS PAREDES (EJEMPLO)</t>
        </is>
      </c>
      <c r="D356" s="3" t="inlineStr">
        <is>
          <t>IMAGENES</t>
        </is>
      </c>
      <c r="E356" s="4" t="n">
        <v>46300</v>
      </c>
      <c r="F356" s="3" t="inlineStr">
        <is>
          <t>Lunes</t>
        </is>
      </c>
      <c r="G356" s="4" t="n">
        <v>46300</v>
      </c>
      <c r="H356" s="3" t="inlineStr">
        <is>
          <t>Intermedio S/sábado</t>
        </is>
      </c>
      <c r="I356" s="3" t="inlineStr">
        <is>
          <t>TRABAJA</t>
        </is>
      </c>
      <c r="J356" s="5" t="n">
        <v>0.375</v>
      </c>
      <c r="K356" s="5" t="n">
        <v>0.7916666666666666</v>
      </c>
      <c r="L356" s="5">
        <f>IF(COUNT(J356:K356)=2,K356-J356,0)</f>
        <v/>
      </c>
      <c r="M356" s="6">
        <f>L356*24</f>
        <v/>
      </c>
      <c r="N356" s="3" t="n">
        <v>60</v>
      </c>
      <c r="O356" s="6">
        <f>N356/60</f>
        <v/>
      </c>
      <c r="P356" s="6">
        <f>M356-O356</f>
        <v/>
      </c>
      <c r="Q356" s="6">
        <f>SUMIFS($P:$P,$A:$A,A356,$G:$G,G356)</f>
        <v/>
      </c>
      <c r="R356" s="5" t="n">
        <v>0.4583333333333333</v>
      </c>
      <c r="S356" s="5" t="n">
        <v>0.71875</v>
      </c>
      <c r="T356" s="5" t="n">
        <v>0.5520833333333334</v>
      </c>
      <c r="U356" s="5" t="n">
        <v>0.59375</v>
      </c>
      <c r="V356" s="3">
        <f>IF(COUNT(T356:U356)=2,ROUND((U356-T356)*1440,0),0)</f>
        <v/>
      </c>
    </row>
    <row r="357">
      <c r="A357" s="2" t="inlineStr">
        <is>
          <t>25555554-5</t>
        </is>
      </c>
      <c r="B357" s="3" t="inlineStr">
        <is>
          <t>Activo</t>
        </is>
      </c>
      <c r="C357" s="3" t="inlineStr">
        <is>
          <t>NICOLÁS PAREDES (EJEMPLO)</t>
        </is>
      </c>
      <c r="D357" s="3" t="inlineStr">
        <is>
          <t>IMAGENES</t>
        </is>
      </c>
      <c r="E357" s="4" t="n">
        <v>46301</v>
      </c>
      <c r="F357" s="3" t="inlineStr">
        <is>
          <t>Martes</t>
        </is>
      </c>
      <c r="G357" s="4" t="n">
        <v>46300</v>
      </c>
      <c r="H357" s="3" t="inlineStr">
        <is>
          <t>Intermedio S/sábado</t>
        </is>
      </c>
      <c r="I357" s="3" t="inlineStr">
        <is>
          <t>TRABAJA</t>
        </is>
      </c>
      <c r="J357" s="5" t="n">
        <v>0.375</v>
      </c>
      <c r="K357" s="5" t="n">
        <v>0.7916666666666666</v>
      </c>
      <c r="L357" s="5">
        <f>IF(COUNT(J357:K357)=2,K357-J357,0)</f>
        <v/>
      </c>
      <c r="M357" s="6">
        <f>L357*24</f>
        <v/>
      </c>
      <c r="N357" s="3" t="n">
        <v>60</v>
      </c>
      <c r="O357" s="6">
        <f>N357/60</f>
        <v/>
      </c>
      <c r="P357" s="6">
        <f>M357-O357</f>
        <v/>
      </c>
      <c r="Q357" s="6">
        <f>SUMIFS($P:$P,$A:$A,A357,$G:$G,G357)</f>
        <v/>
      </c>
      <c r="R357" s="5" t="n">
        <v>0.4583333333333333</v>
      </c>
      <c r="S357" s="5" t="n">
        <v>0.71875</v>
      </c>
      <c r="T357" s="5" t="n">
        <v>0.5520833333333334</v>
      </c>
      <c r="U357" s="5" t="n">
        <v>0.59375</v>
      </c>
      <c r="V357" s="3">
        <f>IF(COUNT(T357:U357)=2,ROUND((U357-T357)*1440,0),0)</f>
        <v/>
      </c>
    </row>
    <row r="358">
      <c r="A358" s="2" t="inlineStr">
        <is>
          <t>25555554-5</t>
        </is>
      </c>
      <c r="B358" s="3" t="inlineStr">
        <is>
          <t>Activo</t>
        </is>
      </c>
      <c r="C358" s="3" t="inlineStr">
        <is>
          <t>NICOLÁS PAREDES (EJEMPLO)</t>
        </is>
      </c>
      <c r="D358" s="3" t="inlineStr">
        <is>
          <t>IMAGENES</t>
        </is>
      </c>
      <c r="E358" s="4" t="n">
        <v>46302</v>
      </c>
      <c r="F358" s="3" t="inlineStr">
        <is>
          <t>Miércoles</t>
        </is>
      </c>
      <c r="G358" s="4" t="n">
        <v>46300</v>
      </c>
      <c r="H358" s="3" t="inlineStr">
        <is>
          <t>Intermedio S/sábado</t>
        </is>
      </c>
      <c r="I358" s="3" t="inlineStr">
        <is>
          <t>TRABAJA</t>
        </is>
      </c>
      <c r="J358" s="5" t="n">
        <v>0.375</v>
      </c>
      <c r="K358" s="5" t="n">
        <v>0.75</v>
      </c>
      <c r="L358" s="5">
        <f>IF(COUNT(J358:K358)=2,K358-J358,0)</f>
        <v/>
      </c>
      <c r="M358" s="6">
        <f>L358*24</f>
        <v/>
      </c>
      <c r="N358" s="3" t="n">
        <v>60</v>
      </c>
      <c r="O358" s="6">
        <f>N358/60</f>
        <v/>
      </c>
      <c r="P358" s="6">
        <f>M358-O358</f>
        <v/>
      </c>
      <c r="Q358" s="6">
        <f>SUMIFS($P:$P,$A:$A,A358,$G:$G,G358)</f>
        <v/>
      </c>
      <c r="R358" s="5" t="n">
        <v>0.4791666666666667</v>
      </c>
      <c r="S358" s="5" t="n">
        <v>0.7083333333333334</v>
      </c>
      <c r="T358" s="5" t="n">
        <v>0.5833333333333334</v>
      </c>
      <c r="U358" s="5" t="n">
        <v>0.625</v>
      </c>
      <c r="V358" s="3">
        <f>IF(COUNT(T358:U358)=2,ROUND((U358-T358)*1440,0),0)</f>
        <v/>
      </c>
    </row>
    <row r="359">
      <c r="A359" s="2" t="inlineStr">
        <is>
          <t>25555554-5</t>
        </is>
      </c>
      <c r="B359" s="3" t="inlineStr">
        <is>
          <t>Activo</t>
        </is>
      </c>
      <c r="C359" s="3" t="inlineStr">
        <is>
          <t>NICOLÁS PAREDES (EJEMPLO)</t>
        </is>
      </c>
      <c r="D359" s="3" t="inlineStr">
        <is>
          <t>IMAGENES</t>
        </is>
      </c>
      <c r="E359" s="4" t="n">
        <v>46303</v>
      </c>
      <c r="F359" s="3" t="inlineStr">
        <is>
          <t>Jueves</t>
        </is>
      </c>
      <c r="G359" s="4" t="n">
        <v>46300</v>
      </c>
      <c r="H359" s="3" t="inlineStr">
        <is>
          <t>Intermedio S/sábado</t>
        </is>
      </c>
      <c r="I359" s="3" t="inlineStr">
        <is>
          <t>TRABAJA</t>
        </is>
      </c>
      <c r="J359" s="5" t="n">
        <v>0.375</v>
      </c>
      <c r="K359" s="5" t="n">
        <v>0.75</v>
      </c>
      <c r="L359" s="5">
        <f>IF(COUNT(J359:K359)=2,K359-J359,0)</f>
        <v/>
      </c>
      <c r="M359" s="6">
        <f>L359*24</f>
        <v/>
      </c>
      <c r="N359" s="3" t="n">
        <v>60</v>
      </c>
      <c r="O359" s="6">
        <f>N359/60</f>
        <v/>
      </c>
      <c r="P359" s="6">
        <f>M359-O359</f>
        <v/>
      </c>
      <c r="Q359" s="6">
        <f>SUMIFS($P:$P,$A:$A,A359,$G:$G,G359)</f>
        <v/>
      </c>
      <c r="R359" s="5" t="n">
        <v>0.4583333333333333</v>
      </c>
      <c r="S359" s="5" t="n">
        <v>0.71875</v>
      </c>
      <c r="T359" s="5" t="n">
        <v>0.59375</v>
      </c>
      <c r="U359" s="5" t="n">
        <v>0.6354166666666666</v>
      </c>
      <c r="V359" s="3">
        <f>IF(COUNT(T359:U359)=2,ROUND((U359-T359)*1440,0),0)</f>
        <v/>
      </c>
    </row>
    <row r="360">
      <c r="A360" s="2" t="inlineStr">
        <is>
          <t>25555554-5</t>
        </is>
      </c>
      <c r="B360" s="3" t="inlineStr">
        <is>
          <t>Activo</t>
        </is>
      </c>
      <c r="C360" s="3" t="inlineStr">
        <is>
          <t>NICOLÁS PAREDES (EJEMPLO)</t>
        </is>
      </c>
      <c r="D360" s="3" t="inlineStr">
        <is>
          <t>IMAGENES</t>
        </is>
      </c>
      <c r="E360" s="4" t="n">
        <v>46304</v>
      </c>
      <c r="F360" s="3" t="inlineStr">
        <is>
          <t>Viernes</t>
        </is>
      </c>
      <c r="G360" s="4" t="n">
        <v>46300</v>
      </c>
      <c r="H360" s="3" t="inlineStr">
        <is>
          <t>Intermedio S/sábado</t>
        </is>
      </c>
      <c r="I360" s="3" t="inlineStr">
        <is>
          <t>TRABAJA</t>
        </is>
      </c>
      <c r="J360" s="5" t="n">
        <v>0.375</v>
      </c>
      <c r="K360" s="5" t="n">
        <v>0.75</v>
      </c>
      <c r="L360" s="5">
        <f>IF(COUNT(J360:K360)=2,K360-J360,0)</f>
        <v/>
      </c>
      <c r="M360" s="6">
        <f>L360*24</f>
        <v/>
      </c>
      <c r="N360" s="3" t="n">
        <v>60</v>
      </c>
      <c r="O360" s="6">
        <f>N360/60</f>
        <v/>
      </c>
      <c r="P360" s="6">
        <f>M360-O360</f>
        <v/>
      </c>
      <c r="Q360" s="6">
        <f>SUMIFS($P:$P,$A:$A,A360,$G:$G,G360)</f>
        <v/>
      </c>
      <c r="R360" s="5" t="n">
        <v>0.46875</v>
      </c>
      <c r="S360" s="5" t="n">
        <v>0.6979166666666666</v>
      </c>
      <c r="T360" s="5" t="n">
        <v>0.5520833333333334</v>
      </c>
      <c r="U360" s="5" t="n">
        <v>0.59375</v>
      </c>
      <c r="V360" s="3">
        <f>IF(COUNT(T360:U360)=2,ROUND((U360-T360)*1440,0),0)</f>
        <v/>
      </c>
    </row>
    <row r="361">
      <c r="A361" s="2" t="inlineStr">
        <is>
          <t>25555554-5</t>
        </is>
      </c>
      <c r="B361" s="3" t="inlineStr">
        <is>
          <t>Activo</t>
        </is>
      </c>
      <c r="C361" s="3" t="inlineStr">
        <is>
          <t>NICOLÁS PAREDES (EJEMPLO)</t>
        </is>
      </c>
      <c r="D361" s="3" t="inlineStr">
        <is>
          <t>IMAGENES</t>
        </is>
      </c>
      <c r="E361" s="4" t="n">
        <v>46305</v>
      </c>
      <c r="F361" s="3" t="inlineStr">
        <is>
          <t>Sábado</t>
        </is>
      </c>
      <c r="G361" s="4" t="n">
        <v>46300</v>
      </c>
      <c r="H361" s="3" t="inlineStr">
        <is>
          <t>Intermedio S/sábado</t>
        </is>
      </c>
      <c r="I361" s="3" t="inlineStr">
        <is>
          <t>LIBRE</t>
        </is>
      </c>
      <c r="J361" s="5" t="n"/>
      <c r="K361" s="5" t="n"/>
      <c r="L361" s="5">
        <f>IF(COUNT(J361:K361)=2,K361-J361,0)</f>
        <v/>
      </c>
      <c r="M361" s="6">
        <f>L361*24</f>
        <v/>
      </c>
      <c r="N361" s="3" t="n">
        <v>0</v>
      </c>
      <c r="O361" s="6">
        <f>N361/60</f>
        <v/>
      </c>
      <c r="P361" s="6">
        <f>M361-O361</f>
        <v/>
      </c>
      <c r="Q361" s="6">
        <f>SUMIFS($P:$P,$A:$A,A361,$G:$G,G361)</f>
        <v/>
      </c>
      <c r="R361" s="5" t="n"/>
      <c r="S361" s="5" t="n"/>
      <c r="T361" s="5" t="n"/>
      <c r="U361" s="5" t="n"/>
      <c r="V361" s="3">
        <f>IF(COUNT(T361:U361)=2,ROUND((U361-T361)*1440,0),0)</f>
        <v/>
      </c>
    </row>
    <row r="362">
      <c r="A362" s="2" t="inlineStr">
        <is>
          <t>25555554-5</t>
        </is>
      </c>
      <c r="B362" s="3" t="inlineStr">
        <is>
          <t>Activo</t>
        </is>
      </c>
      <c r="C362" s="3" t="inlineStr">
        <is>
          <t>NICOLÁS PAREDES (EJEMPLO)</t>
        </is>
      </c>
      <c r="D362" s="3" t="inlineStr">
        <is>
          <t>IMAGENES</t>
        </is>
      </c>
      <c r="E362" s="4" t="n">
        <v>46307</v>
      </c>
      <c r="F362" s="3" t="inlineStr">
        <is>
          <t>Lunes</t>
        </is>
      </c>
      <c r="G362" s="4" t="n">
        <v>46307</v>
      </c>
      <c r="H362" s="3" t="inlineStr">
        <is>
          <t>Mañana C/sábado</t>
        </is>
      </c>
      <c r="I362" s="3" t="inlineStr">
        <is>
          <t>FERIADO</t>
        </is>
      </c>
      <c r="J362" s="5" t="n"/>
      <c r="K362" s="5" t="n"/>
      <c r="L362" s="5">
        <f>IF(COUNT(J362:K362)=2,K362-J362,0)</f>
        <v/>
      </c>
      <c r="M362" s="6">
        <f>L362*24</f>
        <v/>
      </c>
      <c r="N362" s="3" t="n">
        <v>0</v>
      </c>
      <c r="O362" s="6">
        <f>N362/60</f>
        <v/>
      </c>
      <c r="P362" s="6">
        <f>M362-O362</f>
        <v/>
      </c>
      <c r="Q362" s="6">
        <f>SUMIFS($P:$P,$A:$A,A362,$G:$G,G362)</f>
        <v/>
      </c>
      <c r="R362" s="5" t="n"/>
      <c r="S362" s="5" t="n"/>
      <c r="T362" s="5" t="n"/>
      <c r="U362" s="5" t="n"/>
      <c r="V362" s="3">
        <f>IF(COUNT(T362:U362)=2,ROUND((U362-T362)*1440,0),0)</f>
        <v/>
      </c>
    </row>
    <row r="363">
      <c r="A363" s="2" t="inlineStr">
        <is>
          <t>25555554-5</t>
        </is>
      </c>
      <c r="B363" s="3" t="inlineStr">
        <is>
          <t>Activo</t>
        </is>
      </c>
      <c r="C363" s="3" t="inlineStr">
        <is>
          <t>NICOLÁS PAREDES (EJEMPLO)</t>
        </is>
      </c>
      <c r="D363" s="3" t="inlineStr">
        <is>
          <t>IMAGENES</t>
        </is>
      </c>
      <c r="E363" s="4" t="n">
        <v>46308</v>
      </c>
      <c r="F363" s="3" t="inlineStr">
        <is>
          <t>Martes</t>
        </is>
      </c>
      <c r="G363" s="4" t="n">
        <v>46307</v>
      </c>
      <c r="H363" s="3" t="inlineStr">
        <is>
          <t>Mañana C/sábado</t>
        </is>
      </c>
      <c r="I363" s="3" t="inlineStr">
        <is>
          <t>TRABAJA</t>
        </is>
      </c>
      <c r="J363" s="5" t="n">
        <v>0.3333333333333333</v>
      </c>
      <c r="K363" s="5" t="n">
        <v>0.6875</v>
      </c>
      <c r="L363" s="5">
        <f>IF(COUNT(J363:K363)=2,K363-J363,0)</f>
        <v/>
      </c>
      <c r="M363" s="6">
        <f>L363*24</f>
        <v/>
      </c>
      <c r="N363" s="3" t="n">
        <v>60</v>
      </c>
      <c r="O363" s="6">
        <f>N363/60</f>
        <v/>
      </c>
      <c r="P363" s="6">
        <f>M363-O363</f>
        <v/>
      </c>
      <c r="Q363" s="6">
        <f>SUMIFS($P:$P,$A:$A,A363,$G:$G,G363)</f>
        <v/>
      </c>
      <c r="R363" s="5" t="n">
        <v>0.4166666666666667</v>
      </c>
      <c r="S363" s="5" t="n">
        <v>0.59375</v>
      </c>
      <c r="T363" s="5" t="n">
        <v>0.46875</v>
      </c>
      <c r="U363" s="5" t="n">
        <v>0.5104166666666666</v>
      </c>
      <c r="V363" s="3">
        <f>IF(COUNT(T363:U363)=2,ROUND((U363-T363)*1440,0),0)</f>
        <v/>
      </c>
    </row>
    <row r="364">
      <c r="A364" s="2" t="inlineStr">
        <is>
          <t>25555554-5</t>
        </is>
      </c>
      <c r="B364" s="3" t="inlineStr">
        <is>
          <t>Activo</t>
        </is>
      </c>
      <c r="C364" s="3" t="inlineStr">
        <is>
          <t>NICOLÁS PAREDES (EJEMPLO)</t>
        </is>
      </c>
      <c r="D364" s="3" t="inlineStr">
        <is>
          <t>IMAGENES</t>
        </is>
      </c>
      <c r="E364" s="4" t="n">
        <v>46309</v>
      </c>
      <c r="F364" s="3" t="inlineStr">
        <is>
          <t>Miércoles</t>
        </is>
      </c>
      <c r="G364" s="4" t="n">
        <v>46307</v>
      </c>
      <c r="H364" s="3" t="inlineStr">
        <is>
          <t>Mañana C/sábado</t>
        </is>
      </c>
      <c r="I364" s="3" t="inlineStr">
        <is>
          <t>TRABAJA</t>
        </is>
      </c>
      <c r="J364" s="5" t="n">
        <v>0.3333333333333333</v>
      </c>
      <c r="K364" s="5" t="n">
        <v>0.6875</v>
      </c>
      <c r="L364" s="5">
        <f>IF(COUNT(J364:K364)=2,K364-J364,0)</f>
        <v/>
      </c>
      <c r="M364" s="6">
        <f>L364*24</f>
        <v/>
      </c>
      <c r="N364" s="3" t="n">
        <v>60</v>
      </c>
      <c r="O364" s="6">
        <f>N364/60</f>
        <v/>
      </c>
      <c r="P364" s="6">
        <f>M364-O364</f>
        <v/>
      </c>
      <c r="Q364" s="6">
        <f>SUMIFS($P:$P,$A:$A,A364,$G:$G,G364)</f>
        <v/>
      </c>
      <c r="R364" s="5" t="n">
        <v>0.4166666666666667</v>
      </c>
      <c r="S364" s="5" t="n">
        <v>0.59375</v>
      </c>
      <c r="T364" s="5" t="n">
        <v>0.46875</v>
      </c>
      <c r="U364" s="5" t="n">
        <v>0.5104166666666666</v>
      </c>
      <c r="V364" s="3">
        <f>IF(COUNT(T364:U364)=2,ROUND((U364-T364)*1440,0),0)</f>
        <v/>
      </c>
    </row>
    <row r="365">
      <c r="A365" s="2" t="inlineStr">
        <is>
          <t>25555554-5</t>
        </is>
      </c>
      <c r="B365" s="3" t="inlineStr">
        <is>
          <t>Activo</t>
        </is>
      </c>
      <c r="C365" s="3" t="inlineStr">
        <is>
          <t>NICOLÁS PAREDES (EJEMPLO)</t>
        </is>
      </c>
      <c r="D365" s="3" t="inlineStr">
        <is>
          <t>IMAGENES</t>
        </is>
      </c>
      <c r="E365" s="4" t="n">
        <v>46310</v>
      </c>
      <c r="F365" s="3" t="inlineStr">
        <is>
          <t>Jueves</t>
        </is>
      </c>
      <c r="G365" s="4" t="n">
        <v>46307</v>
      </c>
      <c r="H365" s="3" t="inlineStr">
        <is>
          <t>Mañana C/sábado</t>
        </is>
      </c>
      <c r="I365" s="3" t="inlineStr">
        <is>
          <t>TRABAJA</t>
        </is>
      </c>
      <c r="J365" s="5" t="n">
        <v>0.3333333333333333</v>
      </c>
      <c r="K365" s="5" t="n">
        <v>0.6666666666666666</v>
      </c>
      <c r="L365" s="5">
        <f>IF(COUNT(J365:K365)=2,K365-J365,0)</f>
        <v/>
      </c>
      <c r="M365" s="6">
        <f>L365*24</f>
        <v/>
      </c>
      <c r="N365" s="3" t="n">
        <v>60</v>
      </c>
      <c r="O365" s="6">
        <f>N365/60</f>
        <v/>
      </c>
      <c r="P365" s="6">
        <f>M365-O365</f>
        <v/>
      </c>
      <c r="Q365" s="6">
        <f>SUMIFS($P:$P,$A:$A,A365,$G:$G,G365)</f>
        <v/>
      </c>
      <c r="R365" s="5" t="n">
        <v>0.4166666666666667</v>
      </c>
      <c r="S365" s="5" t="n">
        <v>0.6354166666666666</v>
      </c>
      <c r="T365" s="5" t="n">
        <v>0.46875</v>
      </c>
      <c r="U365" s="5" t="n">
        <v>0.5104166666666666</v>
      </c>
      <c r="V365" s="3">
        <f>IF(COUNT(T365:U365)=2,ROUND((U365-T365)*1440,0),0)</f>
        <v/>
      </c>
    </row>
    <row r="366">
      <c r="A366" s="2" t="inlineStr">
        <is>
          <t>25555554-5</t>
        </is>
      </c>
      <c r="B366" s="3" t="inlineStr">
        <is>
          <t>Activo</t>
        </is>
      </c>
      <c r="C366" s="3" t="inlineStr">
        <is>
          <t>NICOLÁS PAREDES (EJEMPLO)</t>
        </is>
      </c>
      <c r="D366" s="3" t="inlineStr">
        <is>
          <t>IMAGENES</t>
        </is>
      </c>
      <c r="E366" s="4" t="n">
        <v>46311</v>
      </c>
      <c r="F366" s="3" t="inlineStr">
        <is>
          <t>Viernes</t>
        </is>
      </c>
      <c r="G366" s="4" t="n">
        <v>46307</v>
      </c>
      <c r="H366" s="3" t="inlineStr">
        <is>
          <t>Mañana C/sábado</t>
        </is>
      </c>
      <c r="I366" s="3" t="inlineStr">
        <is>
          <t>TRABAJA</t>
        </is>
      </c>
      <c r="J366" s="5" t="n">
        <v>0.3333333333333333</v>
      </c>
      <c r="K366" s="5" t="n">
        <v>0.6666666666666666</v>
      </c>
      <c r="L366" s="5">
        <f>IF(COUNT(J366:K366)=2,K366-J366,0)</f>
        <v/>
      </c>
      <c r="M366" s="6">
        <f>L366*24</f>
        <v/>
      </c>
      <c r="N366" s="3" t="n">
        <v>60</v>
      </c>
      <c r="O366" s="6">
        <f>N366/60</f>
        <v/>
      </c>
      <c r="P366" s="6">
        <f>M366-O366</f>
        <v/>
      </c>
      <c r="Q366" s="6">
        <f>SUMIFS($P:$P,$A:$A,A366,$G:$G,G366)</f>
        <v/>
      </c>
      <c r="R366" s="5" t="n">
        <v>0.4166666666666667</v>
      </c>
      <c r="S366" s="5" t="n">
        <v>0.6041666666666666</v>
      </c>
      <c r="T366" s="5" t="n">
        <v>0.46875</v>
      </c>
      <c r="U366" s="5" t="n">
        <v>0.5104166666666666</v>
      </c>
      <c r="V366" s="3">
        <f>IF(COUNT(T366:U366)=2,ROUND((U366-T366)*1440,0),0)</f>
        <v/>
      </c>
    </row>
    <row r="367">
      <c r="A367" s="2" t="inlineStr">
        <is>
          <t>25555554-5</t>
        </is>
      </c>
      <c r="B367" s="3" t="inlineStr">
        <is>
          <t>Activo</t>
        </is>
      </c>
      <c r="C367" s="3" t="inlineStr">
        <is>
          <t>NICOLÁS PAREDES (EJEMPLO)</t>
        </is>
      </c>
      <c r="D367" s="3" t="inlineStr">
        <is>
          <t>IMAGENES</t>
        </is>
      </c>
      <c r="E367" s="4" t="n">
        <v>46312</v>
      </c>
      <c r="F367" s="3" t="inlineStr">
        <is>
          <t>Sábado</t>
        </is>
      </c>
      <c r="G367" s="4" t="n">
        <v>46307</v>
      </c>
      <c r="H367" s="3" t="inlineStr">
        <is>
          <t>Mañana C/sábado</t>
        </is>
      </c>
      <c r="I367" s="3" t="inlineStr">
        <is>
          <t>TRABAJA</t>
        </is>
      </c>
      <c r="J367" s="5" t="n">
        <v>0.3333333333333333</v>
      </c>
      <c r="K367" s="5" t="n">
        <v>0.5833333333333334</v>
      </c>
      <c r="L367" s="5">
        <f>IF(COUNT(J367:K367)=2,K367-J367,0)</f>
        <v/>
      </c>
      <c r="M367" s="6">
        <f>L367*24</f>
        <v/>
      </c>
      <c r="N367" s="3" t="n">
        <v>30</v>
      </c>
      <c r="O367" s="6">
        <f>N367/60</f>
        <v/>
      </c>
      <c r="P367" s="6">
        <f>M367-O367</f>
        <v/>
      </c>
      <c r="Q367" s="6">
        <f>SUMIFS($P:$P,$A:$A,A367,$G:$G,G367)</f>
        <v/>
      </c>
      <c r="R367" s="5" t="n"/>
      <c r="S367" s="5" t="n"/>
      <c r="T367" s="5" t="n">
        <v>0.4375</v>
      </c>
      <c r="U367" s="5" t="n">
        <v>0.4583333333333333</v>
      </c>
      <c r="V367" s="3">
        <f>IF(COUNT(T367:U367)=2,ROUND((U367-T367)*1440,0),0)</f>
        <v/>
      </c>
    </row>
    <row r="368">
      <c r="A368" s="2" t="inlineStr">
        <is>
          <t>25555554-5</t>
        </is>
      </c>
      <c r="B368" s="3" t="inlineStr">
        <is>
          <t>Activo</t>
        </is>
      </c>
      <c r="C368" s="3" t="inlineStr">
        <is>
          <t>NICOLÁS PAREDES (EJEMPLO)</t>
        </is>
      </c>
      <c r="D368" s="3" t="inlineStr">
        <is>
          <t>IMAGENES</t>
        </is>
      </c>
      <c r="E368" s="4" t="n">
        <v>46314</v>
      </c>
      <c r="F368" s="3" t="inlineStr">
        <is>
          <t>Lunes</t>
        </is>
      </c>
      <c r="G368" s="4" t="n">
        <v>46314</v>
      </c>
      <c r="H368" s="3" t="inlineStr">
        <is>
          <t>Intermedio S/sábado</t>
        </is>
      </c>
      <c r="I368" s="3" t="inlineStr">
        <is>
          <t>TRABAJA</t>
        </is>
      </c>
      <c r="J368" s="5" t="n">
        <v>0.375</v>
      </c>
      <c r="K368" s="5" t="n">
        <v>0.7916666666666666</v>
      </c>
      <c r="L368" s="5">
        <f>IF(COUNT(J368:K368)=2,K368-J368,0)</f>
        <v/>
      </c>
      <c r="M368" s="6">
        <f>L368*24</f>
        <v/>
      </c>
      <c r="N368" s="3" t="n">
        <v>60</v>
      </c>
      <c r="O368" s="6">
        <f>N368/60</f>
        <v/>
      </c>
      <c r="P368" s="6">
        <f>M368-O368</f>
        <v/>
      </c>
      <c r="Q368" s="6">
        <f>SUMIFS($P:$P,$A:$A,A368,$G:$G,G368)</f>
        <v/>
      </c>
      <c r="R368" s="5" t="n">
        <v>0.46875</v>
      </c>
      <c r="S368" s="5" t="n">
        <v>0.7083333333333334</v>
      </c>
      <c r="T368" s="5" t="n">
        <v>0.5416666666666666</v>
      </c>
      <c r="U368" s="5" t="n">
        <v>0.5833333333333334</v>
      </c>
      <c r="V368" s="3">
        <f>IF(COUNT(T368:U368)=2,ROUND((U368-T368)*1440,0),0)</f>
        <v/>
      </c>
    </row>
    <row r="369">
      <c r="A369" s="2" t="inlineStr">
        <is>
          <t>25555554-5</t>
        </is>
      </c>
      <c r="B369" s="3" t="inlineStr">
        <is>
          <t>Activo</t>
        </is>
      </c>
      <c r="C369" s="3" t="inlineStr">
        <is>
          <t>NICOLÁS PAREDES (EJEMPLO)</t>
        </is>
      </c>
      <c r="D369" s="3" t="inlineStr">
        <is>
          <t>IMAGENES</t>
        </is>
      </c>
      <c r="E369" s="4" t="n">
        <v>46315</v>
      </c>
      <c r="F369" s="3" t="inlineStr">
        <is>
          <t>Martes</t>
        </is>
      </c>
      <c r="G369" s="4" t="n">
        <v>46314</v>
      </c>
      <c r="H369" s="3" t="inlineStr">
        <is>
          <t>Intermedio S/sábado</t>
        </is>
      </c>
      <c r="I369" s="3" t="inlineStr">
        <is>
          <t>TRABAJA</t>
        </is>
      </c>
      <c r="J369" s="5" t="n">
        <v>0.375</v>
      </c>
      <c r="K369" s="5" t="n">
        <v>0.7916666666666666</v>
      </c>
      <c r="L369" s="5">
        <f>IF(COUNT(J369:K369)=2,K369-J369,0)</f>
        <v/>
      </c>
      <c r="M369" s="6">
        <f>L369*24</f>
        <v/>
      </c>
      <c r="N369" s="3" t="n">
        <v>60</v>
      </c>
      <c r="O369" s="6">
        <f>N369/60</f>
        <v/>
      </c>
      <c r="P369" s="6">
        <f>M369-O369</f>
        <v/>
      </c>
      <c r="Q369" s="6">
        <f>SUMIFS($P:$P,$A:$A,A369,$G:$G,G369)</f>
        <v/>
      </c>
      <c r="R369" s="5" t="n">
        <v>0.46875</v>
      </c>
      <c r="S369" s="5" t="n">
        <v>0.7083333333333334</v>
      </c>
      <c r="T369" s="5" t="n">
        <v>0.5416666666666666</v>
      </c>
      <c r="U369" s="5" t="n">
        <v>0.5833333333333334</v>
      </c>
      <c r="V369" s="3">
        <f>IF(COUNT(T369:U369)=2,ROUND((U369-T369)*1440,0),0)</f>
        <v/>
      </c>
    </row>
    <row r="370">
      <c r="A370" s="2" t="inlineStr">
        <is>
          <t>25555554-5</t>
        </is>
      </c>
      <c r="B370" s="3" t="inlineStr">
        <is>
          <t>Activo</t>
        </is>
      </c>
      <c r="C370" s="3" t="inlineStr">
        <is>
          <t>NICOLÁS PAREDES (EJEMPLO)</t>
        </is>
      </c>
      <c r="D370" s="3" t="inlineStr">
        <is>
          <t>IMAGENES</t>
        </is>
      </c>
      <c r="E370" s="4" t="n">
        <v>46316</v>
      </c>
      <c r="F370" s="3" t="inlineStr">
        <is>
          <t>Miércoles</t>
        </is>
      </c>
      <c r="G370" s="4" t="n">
        <v>46314</v>
      </c>
      <c r="H370" s="3" t="inlineStr">
        <is>
          <t>Intermedio S/sábado</t>
        </is>
      </c>
      <c r="I370" s="3" t="inlineStr">
        <is>
          <t>TRABAJA</t>
        </is>
      </c>
      <c r="J370" s="5" t="n">
        <v>0.375</v>
      </c>
      <c r="K370" s="5" t="n">
        <v>0.75</v>
      </c>
      <c r="L370" s="5">
        <f>IF(COUNT(J370:K370)=2,K370-J370,0)</f>
        <v/>
      </c>
      <c r="M370" s="6">
        <f>L370*24</f>
        <v/>
      </c>
      <c r="N370" s="3" t="n">
        <v>60</v>
      </c>
      <c r="O370" s="6">
        <f>N370/60</f>
        <v/>
      </c>
      <c r="P370" s="6">
        <f>M370-O370</f>
        <v/>
      </c>
      <c r="Q370" s="6">
        <f>SUMIFS($P:$P,$A:$A,A370,$G:$G,G370)</f>
        <v/>
      </c>
      <c r="R370" s="5" t="n">
        <v>0.4583333333333333</v>
      </c>
      <c r="S370" s="5" t="n">
        <v>0.6354166666666666</v>
      </c>
      <c r="T370" s="5" t="n">
        <v>0.5104166666666666</v>
      </c>
      <c r="U370" s="5" t="n">
        <v>0.5520833333333334</v>
      </c>
      <c r="V370" s="3">
        <f>IF(COUNT(T370:U370)=2,ROUND((U370-T370)*1440,0),0)</f>
        <v/>
      </c>
    </row>
    <row r="371">
      <c r="A371" s="2" t="inlineStr">
        <is>
          <t>25555554-5</t>
        </is>
      </c>
      <c r="B371" s="3" t="inlineStr">
        <is>
          <t>Activo</t>
        </is>
      </c>
      <c r="C371" s="3" t="inlineStr">
        <is>
          <t>NICOLÁS PAREDES (EJEMPLO)</t>
        </is>
      </c>
      <c r="D371" s="3" t="inlineStr">
        <is>
          <t>IMAGENES</t>
        </is>
      </c>
      <c r="E371" s="4" t="n">
        <v>46317</v>
      </c>
      <c r="F371" s="3" t="inlineStr">
        <is>
          <t>Jueves</t>
        </is>
      </c>
      <c r="G371" s="4" t="n">
        <v>46314</v>
      </c>
      <c r="H371" s="3" t="inlineStr">
        <is>
          <t>Intermedio S/sábado</t>
        </is>
      </c>
      <c r="I371" s="3" t="inlineStr">
        <is>
          <t>TRABAJA</t>
        </is>
      </c>
      <c r="J371" s="5" t="n">
        <v>0.375</v>
      </c>
      <c r="K371" s="5" t="n">
        <v>0.75</v>
      </c>
      <c r="L371" s="5">
        <f>IF(COUNT(J371:K371)=2,K371-J371,0)</f>
        <v/>
      </c>
      <c r="M371" s="6">
        <f>L371*24</f>
        <v/>
      </c>
      <c r="N371" s="3" t="n">
        <v>60</v>
      </c>
      <c r="O371" s="6">
        <f>N371/60</f>
        <v/>
      </c>
      <c r="P371" s="6">
        <f>M371-O371</f>
        <v/>
      </c>
      <c r="Q371" s="6">
        <f>SUMIFS($P:$P,$A:$A,A371,$G:$G,G371)</f>
        <v/>
      </c>
      <c r="R371" s="5" t="n">
        <v>0.4583333333333333</v>
      </c>
      <c r="S371" s="5" t="n">
        <v>0.6770833333333334</v>
      </c>
      <c r="T371" s="5" t="n">
        <v>0.5520833333333334</v>
      </c>
      <c r="U371" s="5" t="n">
        <v>0.59375</v>
      </c>
      <c r="V371" s="3">
        <f>IF(COUNT(T371:U371)=2,ROUND((U371-T371)*1440,0),0)</f>
        <v/>
      </c>
    </row>
    <row r="372">
      <c r="A372" s="2" t="inlineStr">
        <is>
          <t>25555554-5</t>
        </is>
      </c>
      <c r="B372" s="3" t="inlineStr">
        <is>
          <t>Activo</t>
        </is>
      </c>
      <c r="C372" s="3" t="inlineStr">
        <is>
          <t>NICOLÁS PAREDES (EJEMPLO)</t>
        </is>
      </c>
      <c r="D372" s="3" t="inlineStr">
        <is>
          <t>IMAGENES</t>
        </is>
      </c>
      <c r="E372" s="4" t="n">
        <v>46318</v>
      </c>
      <c r="F372" s="3" t="inlineStr">
        <is>
          <t>Viernes</t>
        </is>
      </c>
      <c r="G372" s="4" t="n">
        <v>46314</v>
      </c>
      <c r="H372" s="3" t="inlineStr">
        <is>
          <t>Intermedio S/sábado</t>
        </is>
      </c>
      <c r="I372" s="3" t="inlineStr">
        <is>
          <t>TRABAJA</t>
        </is>
      </c>
      <c r="J372" s="5" t="n">
        <v>0.375</v>
      </c>
      <c r="K372" s="5" t="n">
        <v>0.75</v>
      </c>
      <c r="L372" s="5">
        <f>IF(COUNT(J372:K372)=2,K372-J372,0)</f>
        <v/>
      </c>
      <c r="M372" s="6">
        <f>L372*24</f>
        <v/>
      </c>
      <c r="N372" s="3" t="n">
        <v>60</v>
      </c>
      <c r="O372" s="6">
        <f>N372/60</f>
        <v/>
      </c>
      <c r="P372" s="6">
        <f>M372-O372</f>
        <v/>
      </c>
      <c r="Q372" s="6">
        <f>SUMIFS($P:$P,$A:$A,A372,$G:$G,G372)</f>
        <v/>
      </c>
      <c r="R372" s="5" t="n">
        <v>0.46875</v>
      </c>
      <c r="S372" s="5" t="n">
        <v>0.7083333333333334</v>
      </c>
      <c r="T372" s="5" t="n">
        <v>0.5520833333333334</v>
      </c>
      <c r="U372" s="5" t="n">
        <v>0.59375</v>
      </c>
      <c r="V372" s="3">
        <f>IF(COUNT(T372:U372)=2,ROUND((U372-T372)*1440,0),0)</f>
        <v/>
      </c>
    </row>
    <row r="373">
      <c r="A373" s="2" t="inlineStr">
        <is>
          <t>25555554-5</t>
        </is>
      </c>
      <c r="B373" s="3" t="inlineStr">
        <is>
          <t>Activo</t>
        </is>
      </c>
      <c r="C373" s="3" t="inlineStr">
        <is>
          <t>NICOLÁS PAREDES (EJEMPLO)</t>
        </is>
      </c>
      <c r="D373" s="3" t="inlineStr">
        <is>
          <t>IMAGENES</t>
        </is>
      </c>
      <c r="E373" s="4" t="n">
        <v>46319</v>
      </c>
      <c r="F373" s="3" t="inlineStr">
        <is>
          <t>Sábado</t>
        </is>
      </c>
      <c r="G373" s="4" t="n">
        <v>46314</v>
      </c>
      <c r="H373" s="3" t="inlineStr">
        <is>
          <t>Intermedio S/sábado</t>
        </is>
      </c>
      <c r="I373" s="3" t="inlineStr">
        <is>
          <t>LIBRE</t>
        </is>
      </c>
      <c r="J373" s="5" t="n"/>
      <c r="K373" s="5" t="n"/>
      <c r="L373" s="5">
        <f>IF(COUNT(J373:K373)=2,K373-J373,0)</f>
        <v/>
      </c>
      <c r="M373" s="6">
        <f>L373*24</f>
        <v/>
      </c>
      <c r="N373" s="3" t="n">
        <v>0</v>
      </c>
      <c r="O373" s="6">
        <f>N373/60</f>
        <v/>
      </c>
      <c r="P373" s="6">
        <f>M373-O373</f>
        <v/>
      </c>
      <c r="Q373" s="6">
        <f>SUMIFS($P:$P,$A:$A,A373,$G:$G,G373)</f>
        <v/>
      </c>
      <c r="R373" s="5" t="n"/>
      <c r="S373" s="5" t="n"/>
      <c r="T373" s="5" t="n"/>
      <c r="U373" s="5" t="n"/>
      <c r="V373" s="3">
        <f>IF(COUNT(T373:U373)=2,ROUND((U373-T373)*1440,0),0)</f>
        <v/>
      </c>
    </row>
    <row r="374">
      <c r="A374" s="2" t="inlineStr">
        <is>
          <t>25555554-5</t>
        </is>
      </c>
      <c r="B374" s="3" t="inlineStr">
        <is>
          <t>Activo</t>
        </is>
      </c>
      <c r="C374" s="3" t="inlineStr">
        <is>
          <t>NICOLÁS PAREDES (EJEMPLO)</t>
        </is>
      </c>
      <c r="D374" s="3" t="inlineStr">
        <is>
          <t>IMAGENES</t>
        </is>
      </c>
      <c r="E374" s="4" t="n">
        <v>46321</v>
      </c>
      <c r="F374" s="3" t="inlineStr">
        <is>
          <t>Lunes</t>
        </is>
      </c>
      <c r="G374" s="4" t="n">
        <v>46321</v>
      </c>
      <c r="H374" s="3" t="inlineStr">
        <is>
          <t>Tarde S/sábado</t>
        </is>
      </c>
      <c r="I374" s="3" t="inlineStr">
        <is>
          <t>TRABAJA</t>
        </is>
      </c>
      <c r="J374" s="5" t="n">
        <v>0.4375</v>
      </c>
      <c r="K374" s="5" t="n">
        <v>0.8333333333333334</v>
      </c>
      <c r="L374" s="5">
        <f>IF(COUNT(J374:K374)=2,K374-J374,0)</f>
        <v/>
      </c>
      <c r="M374" s="6">
        <f>L374*24</f>
        <v/>
      </c>
      <c r="N374" s="3" t="n">
        <v>60</v>
      </c>
      <c r="O374" s="6">
        <f>N374/60</f>
        <v/>
      </c>
      <c r="P374" s="6">
        <f>M374-O374</f>
        <v/>
      </c>
      <c r="Q374" s="6">
        <f>SUMIFS($P:$P,$A:$A,A374,$G:$G,G374)</f>
        <v/>
      </c>
      <c r="R374" s="5" t="n">
        <v>0.5208333333333334</v>
      </c>
      <c r="S374" s="5" t="n">
        <v>0.7395833333333334</v>
      </c>
      <c r="T374" s="5" t="n">
        <v>0.6145833333333334</v>
      </c>
      <c r="U374" s="5" t="n">
        <v>0.65625</v>
      </c>
      <c r="V374" s="3">
        <f>IF(COUNT(T374:U374)=2,ROUND((U374-T374)*1440,0),0)</f>
        <v/>
      </c>
    </row>
    <row r="375">
      <c r="A375" s="2" t="inlineStr">
        <is>
          <t>25555554-5</t>
        </is>
      </c>
      <c r="B375" s="3" t="inlineStr">
        <is>
          <t>Activo</t>
        </is>
      </c>
      <c r="C375" s="3" t="inlineStr">
        <is>
          <t>NICOLÁS PAREDES (EJEMPLO)</t>
        </is>
      </c>
      <c r="D375" s="3" t="inlineStr">
        <is>
          <t>IMAGENES</t>
        </is>
      </c>
      <c r="E375" s="4" t="n">
        <v>46322</v>
      </c>
      <c r="F375" s="3" t="inlineStr">
        <is>
          <t>Martes</t>
        </is>
      </c>
      <c r="G375" s="4" t="n">
        <v>46321</v>
      </c>
      <c r="H375" s="3" t="inlineStr">
        <is>
          <t>Tarde S/sábado</t>
        </is>
      </c>
      <c r="I375" s="3" t="inlineStr">
        <is>
          <t>TRABAJA</t>
        </is>
      </c>
      <c r="J375" s="5" t="n">
        <v>0.4375</v>
      </c>
      <c r="K375" s="5" t="n">
        <v>0.8333333333333334</v>
      </c>
      <c r="L375" s="5">
        <f>IF(COUNT(J375:K375)=2,K375-J375,0)</f>
        <v/>
      </c>
      <c r="M375" s="6">
        <f>L375*24</f>
        <v/>
      </c>
      <c r="N375" s="3" t="n">
        <v>60</v>
      </c>
      <c r="O375" s="6">
        <f>N375/60</f>
        <v/>
      </c>
      <c r="P375" s="6">
        <f>M375-O375</f>
        <v/>
      </c>
      <c r="Q375" s="6">
        <f>SUMIFS($P:$P,$A:$A,A375,$G:$G,G375)</f>
        <v/>
      </c>
      <c r="R375" s="5" t="n">
        <v>0.5208333333333334</v>
      </c>
      <c r="S375" s="5" t="n">
        <v>0.7395833333333334</v>
      </c>
      <c r="T375" s="5" t="n">
        <v>0.6145833333333334</v>
      </c>
      <c r="U375" s="5" t="n">
        <v>0.65625</v>
      </c>
      <c r="V375" s="3">
        <f>IF(COUNT(T375:U375)=2,ROUND((U375-T375)*1440,0),0)</f>
        <v/>
      </c>
    </row>
    <row r="376">
      <c r="A376" s="2" t="inlineStr">
        <is>
          <t>25555554-5</t>
        </is>
      </c>
      <c r="B376" s="3" t="inlineStr">
        <is>
          <t>Activo</t>
        </is>
      </c>
      <c r="C376" s="3" t="inlineStr">
        <is>
          <t>NICOLÁS PAREDES (EJEMPLO)</t>
        </is>
      </c>
      <c r="D376" s="3" t="inlineStr">
        <is>
          <t>IMAGENES</t>
        </is>
      </c>
      <c r="E376" s="4" t="n">
        <v>46323</v>
      </c>
      <c r="F376" s="3" t="inlineStr">
        <is>
          <t>Miércoles</t>
        </is>
      </c>
      <c r="G376" s="4" t="n">
        <v>46321</v>
      </c>
      <c r="H376" s="3" t="inlineStr">
        <is>
          <t>Tarde S/sábado</t>
        </is>
      </c>
      <c r="I376" s="3" t="inlineStr">
        <is>
          <t>TRABAJA</t>
        </is>
      </c>
      <c r="J376" s="5" t="n">
        <v>0.4375</v>
      </c>
      <c r="K376" s="5" t="n">
        <v>0.8333333333333334</v>
      </c>
      <c r="L376" s="5">
        <f>IF(COUNT(J376:K376)=2,K376-J376,0)</f>
        <v/>
      </c>
      <c r="M376" s="6">
        <f>L376*24</f>
        <v/>
      </c>
      <c r="N376" s="3" t="n">
        <v>60</v>
      </c>
      <c r="O376" s="6">
        <f>N376/60</f>
        <v/>
      </c>
      <c r="P376" s="6">
        <f>M376-O376</f>
        <v/>
      </c>
      <c r="Q376" s="6">
        <f>SUMIFS($P:$P,$A:$A,A376,$G:$G,G376)</f>
        <v/>
      </c>
      <c r="R376" s="5" t="n">
        <v>0.5208333333333334</v>
      </c>
      <c r="S376" s="5" t="n">
        <v>0.75</v>
      </c>
      <c r="T376" s="5" t="n">
        <v>0.625</v>
      </c>
      <c r="U376" s="5" t="n">
        <v>0.6666666666666666</v>
      </c>
      <c r="V376" s="3">
        <f>IF(COUNT(T376:U376)=2,ROUND((U376-T376)*1440,0),0)</f>
        <v/>
      </c>
    </row>
    <row r="377">
      <c r="A377" s="2" t="inlineStr">
        <is>
          <t>25555554-5</t>
        </is>
      </c>
      <c r="B377" s="3" t="inlineStr">
        <is>
          <t>Activo</t>
        </is>
      </c>
      <c r="C377" s="3" t="inlineStr">
        <is>
          <t>NICOLÁS PAREDES (EJEMPLO)</t>
        </is>
      </c>
      <c r="D377" s="3" t="inlineStr">
        <is>
          <t>IMAGENES</t>
        </is>
      </c>
      <c r="E377" s="4" t="n">
        <v>46324</v>
      </c>
      <c r="F377" s="3" t="inlineStr">
        <is>
          <t>Jueves</t>
        </is>
      </c>
      <c r="G377" s="4" t="n">
        <v>46321</v>
      </c>
      <c r="H377" s="3" t="inlineStr">
        <is>
          <t>Tarde S/sábado</t>
        </is>
      </c>
      <c r="I377" s="3" t="inlineStr">
        <is>
          <t>TRABAJA</t>
        </is>
      </c>
      <c r="J377" s="5" t="n">
        <v>0.4375</v>
      </c>
      <c r="K377" s="5" t="n">
        <v>0.8333333333333334</v>
      </c>
      <c r="L377" s="5">
        <f>IF(COUNT(J377:K377)=2,K377-J377,0)</f>
        <v/>
      </c>
      <c r="M377" s="6">
        <f>L377*24</f>
        <v/>
      </c>
      <c r="N377" s="3" t="n">
        <v>60</v>
      </c>
      <c r="O377" s="6">
        <f>N377/60</f>
        <v/>
      </c>
      <c r="P377" s="6">
        <f>M377-O377</f>
        <v/>
      </c>
      <c r="Q377" s="6">
        <f>SUMIFS($P:$P,$A:$A,A377,$G:$G,G377)</f>
        <v/>
      </c>
      <c r="R377" s="5" t="n">
        <v>0.5625</v>
      </c>
      <c r="S377" s="5" t="n">
        <v>0.8020833333333334</v>
      </c>
      <c r="T377" s="5" t="n">
        <v>0.6770833333333334</v>
      </c>
      <c r="U377" s="5" t="n">
        <v>0.71875</v>
      </c>
      <c r="V377" s="3">
        <f>IF(COUNT(T377:U377)=2,ROUND((U377-T377)*1440,0),0)</f>
        <v/>
      </c>
    </row>
    <row r="378">
      <c r="A378" s="2" t="inlineStr">
        <is>
          <t>25555554-5</t>
        </is>
      </c>
      <c r="B378" s="3" t="inlineStr">
        <is>
          <t>Activo</t>
        </is>
      </c>
      <c r="C378" s="3" t="inlineStr">
        <is>
          <t>NICOLÁS PAREDES (EJEMPLO)</t>
        </is>
      </c>
      <c r="D378" s="3" t="inlineStr">
        <is>
          <t>IMAGENES</t>
        </is>
      </c>
      <c r="E378" s="4" t="n">
        <v>46325</v>
      </c>
      <c r="F378" s="3" t="inlineStr">
        <is>
          <t>Viernes</t>
        </is>
      </c>
      <c r="G378" s="4" t="n">
        <v>46321</v>
      </c>
      <c r="H378" s="3" t="inlineStr">
        <is>
          <t>Tarde S/sábado</t>
        </is>
      </c>
      <c r="I378" s="3" t="inlineStr">
        <is>
          <t>TRABAJA</t>
        </is>
      </c>
      <c r="J378" s="5" t="n">
        <v>0.4583333333333333</v>
      </c>
      <c r="K378" s="5" t="n">
        <v>0.8333333333333334</v>
      </c>
      <c r="L378" s="5">
        <f>IF(COUNT(J378:K378)=2,K378-J378,0)</f>
        <v/>
      </c>
      <c r="M378" s="6">
        <f>L378*24</f>
        <v/>
      </c>
      <c r="N378" s="3" t="n">
        <v>60</v>
      </c>
      <c r="O378" s="6">
        <f>N378/60</f>
        <v/>
      </c>
      <c r="P378" s="6">
        <f>M378-O378</f>
        <v/>
      </c>
      <c r="Q378" s="6">
        <f>SUMIFS($P:$P,$A:$A,A378,$G:$G,G378)</f>
        <v/>
      </c>
      <c r="R378" s="5" t="n">
        <v>0.5520833333333334</v>
      </c>
      <c r="S378" s="5" t="n">
        <v>0.8020833333333334</v>
      </c>
      <c r="T378" s="5" t="n">
        <v>0.6770833333333334</v>
      </c>
      <c r="U378" s="5" t="n">
        <v>0.71875</v>
      </c>
      <c r="V378" s="3">
        <f>IF(COUNT(T378:U378)=2,ROUND((U378-T378)*1440,0),0)</f>
        <v/>
      </c>
    </row>
    <row r="379">
      <c r="A379" s="2" t="inlineStr">
        <is>
          <t>25555554-5</t>
        </is>
      </c>
      <c r="B379" s="3" t="inlineStr">
        <is>
          <t>Activo</t>
        </is>
      </c>
      <c r="C379" s="3" t="inlineStr">
        <is>
          <t>NICOLÁS PAREDES (EJEMPLO)</t>
        </is>
      </c>
      <c r="D379" s="3" t="inlineStr">
        <is>
          <t>IMAGENES</t>
        </is>
      </c>
      <c r="E379" s="4" t="n">
        <v>46326</v>
      </c>
      <c r="F379" s="3" t="inlineStr">
        <is>
          <t>Sábado</t>
        </is>
      </c>
      <c r="G379" s="4" t="n">
        <v>46321</v>
      </c>
      <c r="H379" s="3" t="inlineStr">
        <is>
          <t>Tarde S/sábado</t>
        </is>
      </c>
      <c r="I379" s="3" t="inlineStr">
        <is>
          <t>FERIADO</t>
        </is>
      </c>
      <c r="J379" s="5" t="n"/>
      <c r="K379" s="5" t="n"/>
      <c r="L379" s="5">
        <f>IF(COUNT(J379:K379)=2,K379-J379,0)</f>
        <v/>
      </c>
      <c r="M379" s="6">
        <f>L379*24</f>
        <v/>
      </c>
      <c r="N379" s="3" t="n">
        <v>0</v>
      </c>
      <c r="O379" s="6">
        <f>N379/60</f>
        <v/>
      </c>
      <c r="P379" s="6">
        <f>M379-O379</f>
        <v/>
      </c>
      <c r="Q379" s="6">
        <f>SUMIFS($P:$P,$A:$A,A379,$G:$G,G379)</f>
        <v/>
      </c>
      <c r="R379" s="5" t="n"/>
      <c r="S379" s="5" t="n"/>
      <c r="T379" s="5" t="n"/>
      <c r="U379" s="5" t="n"/>
      <c r="V379" s="3">
        <f>IF(COUNT(T379:U379)=2,ROUND((U379-T379)*1440,0),0)</f>
        <v/>
      </c>
    </row>
    <row r="380">
      <c r="A380" s="2" t="inlineStr">
        <is>
          <t>26666665-9</t>
        </is>
      </c>
      <c r="B380" s="3" t="inlineStr">
        <is>
          <t>Activo</t>
        </is>
      </c>
      <c r="C380" s="3" t="inlineStr">
        <is>
          <t>OLGA NAVARRO (EJEMPLO)</t>
        </is>
      </c>
      <c r="D380" s="3" t="inlineStr">
        <is>
          <t>IMAGENES</t>
        </is>
      </c>
      <c r="E380" s="4" t="n">
        <v>46296</v>
      </c>
      <c r="F380" s="3" t="inlineStr">
        <is>
          <t>Jueves</t>
        </is>
      </c>
      <c r="G380" s="4" t="n">
        <v>46293</v>
      </c>
      <c r="H380" s="3" t="inlineStr">
        <is>
          <t>Intermedio S/sábado</t>
        </is>
      </c>
      <c r="I380" s="3" t="inlineStr">
        <is>
          <t>TRABAJA</t>
        </is>
      </c>
      <c r="J380" s="5" t="n">
        <v>0.375</v>
      </c>
      <c r="K380" s="5" t="n">
        <v>0.75</v>
      </c>
      <c r="L380" s="5">
        <f>IF(COUNT(J380:K380)=2,K380-J380,0)</f>
        <v/>
      </c>
      <c r="M380" s="6">
        <f>L380*24</f>
        <v/>
      </c>
      <c r="N380" s="3" t="n">
        <v>60</v>
      </c>
      <c r="O380" s="6">
        <f>N380/60</f>
        <v/>
      </c>
      <c r="P380" s="6">
        <f>M380-O380</f>
        <v/>
      </c>
      <c r="Q380" s="6">
        <f>SUMIFS($P:$P,$A:$A,A380,$G:$G,G380)</f>
        <v/>
      </c>
      <c r="R380" s="5" t="n">
        <v>0.46875</v>
      </c>
      <c r="S380" s="5" t="n">
        <v>0.71875</v>
      </c>
      <c r="T380" s="5" t="n">
        <v>0.59375</v>
      </c>
      <c r="U380" s="5" t="n">
        <v>0.6354166666666666</v>
      </c>
      <c r="V380" s="3">
        <f>IF(COUNT(T380:U380)=2,ROUND((U380-T380)*1440,0),0)</f>
        <v/>
      </c>
    </row>
    <row r="381">
      <c r="A381" s="2" t="inlineStr">
        <is>
          <t>26666665-9</t>
        </is>
      </c>
      <c r="B381" s="3" t="inlineStr">
        <is>
          <t>Activo</t>
        </is>
      </c>
      <c r="C381" s="3" t="inlineStr">
        <is>
          <t>OLGA NAVARRO (EJEMPLO)</t>
        </is>
      </c>
      <c r="D381" s="3" t="inlineStr">
        <is>
          <t>IMAGENES</t>
        </is>
      </c>
      <c r="E381" s="4" t="n">
        <v>46297</v>
      </c>
      <c r="F381" s="3" t="inlineStr">
        <is>
          <t>Viernes</t>
        </is>
      </c>
      <c r="G381" s="4" t="n">
        <v>46293</v>
      </c>
      <c r="H381" s="3" t="inlineStr">
        <is>
          <t>Intermedio S/sábado</t>
        </is>
      </c>
      <c r="I381" s="3" t="inlineStr">
        <is>
          <t>TRABAJA</t>
        </is>
      </c>
      <c r="J381" s="5" t="n">
        <v>0.375</v>
      </c>
      <c r="K381" s="5" t="n">
        <v>0.75</v>
      </c>
      <c r="L381" s="5">
        <f>IF(COUNT(J381:K381)=2,K381-J381,0)</f>
        <v/>
      </c>
      <c r="M381" s="6">
        <f>L381*24</f>
        <v/>
      </c>
      <c r="N381" s="3" t="n">
        <v>60</v>
      </c>
      <c r="O381" s="6">
        <f>N381/60</f>
        <v/>
      </c>
      <c r="P381" s="6">
        <f>M381-O381</f>
        <v/>
      </c>
      <c r="Q381" s="6">
        <f>SUMIFS($P:$P,$A:$A,A381,$G:$G,G381)</f>
        <v/>
      </c>
      <c r="R381" s="5" t="n">
        <v>0.4791666666666667</v>
      </c>
      <c r="S381" s="5" t="n">
        <v>0.71875</v>
      </c>
      <c r="T381" s="5" t="n">
        <v>0.59375</v>
      </c>
      <c r="U381" s="5" t="n">
        <v>0.6354166666666666</v>
      </c>
      <c r="V381" s="3">
        <f>IF(COUNT(T381:U381)=2,ROUND((U381-T381)*1440,0),0)</f>
        <v/>
      </c>
    </row>
    <row r="382">
      <c r="A382" s="2" t="inlineStr">
        <is>
          <t>26666665-9</t>
        </is>
      </c>
      <c r="B382" s="3" t="inlineStr">
        <is>
          <t>Activo</t>
        </is>
      </c>
      <c r="C382" s="3" t="inlineStr">
        <is>
          <t>OLGA NAVARRO (EJEMPLO)</t>
        </is>
      </c>
      <c r="D382" s="3" t="inlineStr">
        <is>
          <t>IMAGENES</t>
        </is>
      </c>
      <c r="E382" s="4" t="n">
        <v>46298</v>
      </c>
      <c r="F382" s="3" t="inlineStr">
        <is>
          <t>Sábado</t>
        </is>
      </c>
      <c r="G382" s="4" t="n">
        <v>46293</v>
      </c>
      <c r="H382" s="3" t="inlineStr">
        <is>
          <t>Intermedio S/sábado</t>
        </is>
      </c>
      <c r="I382" s="3" t="inlineStr">
        <is>
          <t>LIBRE</t>
        </is>
      </c>
      <c r="J382" s="5" t="n"/>
      <c r="K382" s="5" t="n"/>
      <c r="L382" s="5">
        <f>IF(COUNT(J382:K382)=2,K382-J382,0)</f>
        <v/>
      </c>
      <c r="M382" s="6">
        <f>L382*24</f>
        <v/>
      </c>
      <c r="N382" s="3" t="n">
        <v>0</v>
      </c>
      <c r="O382" s="6">
        <f>N382/60</f>
        <v/>
      </c>
      <c r="P382" s="6">
        <f>M382-O382</f>
        <v/>
      </c>
      <c r="Q382" s="6">
        <f>SUMIFS($P:$P,$A:$A,A382,$G:$G,G382)</f>
        <v/>
      </c>
      <c r="R382" s="5" t="n"/>
      <c r="S382" s="5" t="n"/>
      <c r="T382" s="5" t="n"/>
      <c r="U382" s="5" t="n"/>
      <c r="V382" s="3">
        <f>IF(COUNT(T382:U382)=2,ROUND((U382-T382)*1440,0),0)</f>
        <v/>
      </c>
    </row>
    <row r="383">
      <c r="A383" s="2" t="inlineStr">
        <is>
          <t>26666665-9</t>
        </is>
      </c>
      <c r="B383" s="3" t="inlineStr">
        <is>
          <t>Activo</t>
        </is>
      </c>
      <c r="C383" s="3" t="inlineStr">
        <is>
          <t>OLGA NAVARRO (EJEMPLO)</t>
        </is>
      </c>
      <c r="D383" s="3" t="inlineStr">
        <is>
          <t>IMAGENES</t>
        </is>
      </c>
      <c r="E383" s="4" t="n">
        <v>46300</v>
      </c>
      <c r="F383" s="3" t="inlineStr">
        <is>
          <t>Lunes</t>
        </is>
      </c>
      <c r="G383" s="4" t="n">
        <v>46300</v>
      </c>
      <c r="H383" s="3" t="inlineStr">
        <is>
          <t>Mañana C/sábado</t>
        </is>
      </c>
      <c r="I383" s="3" t="inlineStr">
        <is>
          <t>TRABAJA</t>
        </is>
      </c>
      <c r="J383" s="5" t="n">
        <v>0.3333333333333333</v>
      </c>
      <c r="K383" s="5" t="n">
        <v>0.6875</v>
      </c>
      <c r="L383" s="5">
        <f>IF(COUNT(J383:K383)=2,K383-J383,0)</f>
        <v/>
      </c>
      <c r="M383" s="6">
        <f>L383*24</f>
        <v/>
      </c>
      <c r="N383" s="3" t="n">
        <v>60</v>
      </c>
      <c r="O383" s="6">
        <f>N383/60</f>
        <v/>
      </c>
      <c r="P383" s="6">
        <f>M383-O383</f>
        <v/>
      </c>
      <c r="Q383" s="6">
        <f>SUMIFS($P:$P,$A:$A,A383,$G:$G,G383)</f>
        <v/>
      </c>
      <c r="R383" s="5" t="n">
        <v>0.4166666666666667</v>
      </c>
      <c r="S383" s="5" t="n">
        <v>0.59375</v>
      </c>
      <c r="T383" s="5" t="n">
        <v>0.46875</v>
      </c>
      <c r="U383" s="5" t="n">
        <v>0.5104166666666666</v>
      </c>
      <c r="V383" s="3">
        <f>IF(COUNT(T383:U383)=2,ROUND((U383-T383)*1440,0),0)</f>
        <v/>
      </c>
    </row>
    <row r="384">
      <c r="A384" s="2" t="inlineStr">
        <is>
          <t>26666665-9</t>
        </is>
      </c>
      <c r="B384" s="3" t="inlineStr">
        <is>
          <t>Activo</t>
        </is>
      </c>
      <c r="C384" s="3" t="inlineStr">
        <is>
          <t>OLGA NAVARRO (EJEMPLO)</t>
        </is>
      </c>
      <c r="D384" s="3" t="inlineStr">
        <is>
          <t>IMAGENES</t>
        </is>
      </c>
      <c r="E384" s="4" t="n">
        <v>46301</v>
      </c>
      <c r="F384" s="3" t="inlineStr">
        <is>
          <t>Martes</t>
        </is>
      </c>
      <c r="G384" s="4" t="n">
        <v>46300</v>
      </c>
      <c r="H384" s="3" t="inlineStr">
        <is>
          <t>Mañana C/sábado</t>
        </is>
      </c>
      <c r="I384" s="3" t="inlineStr">
        <is>
          <t>TRABAJA</t>
        </is>
      </c>
      <c r="J384" s="5" t="n">
        <v>0.3333333333333333</v>
      </c>
      <c r="K384" s="5" t="n">
        <v>0.6875</v>
      </c>
      <c r="L384" s="5">
        <f>IF(COUNT(J384:K384)=2,K384-J384,0)</f>
        <v/>
      </c>
      <c r="M384" s="6">
        <f>L384*24</f>
        <v/>
      </c>
      <c r="N384" s="3" t="n">
        <v>60</v>
      </c>
      <c r="O384" s="6">
        <f>N384/60</f>
        <v/>
      </c>
      <c r="P384" s="6">
        <f>M384-O384</f>
        <v/>
      </c>
      <c r="Q384" s="6">
        <f>SUMIFS($P:$P,$A:$A,A384,$G:$G,G384)</f>
        <v/>
      </c>
      <c r="R384" s="5" t="n">
        <v>0.4166666666666667</v>
      </c>
      <c r="S384" s="5" t="n">
        <v>0.59375</v>
      </c>
      <c r="T384" s="5" t="n">
        <v>0.46875</v>
      </c>
      <c r="U384" s="5" t="n">
        <v>0.5104166666666666</v>
      </c>
      <c r="V384" s="3">
        <f>IF(COUNT(T384:U384)=2,ROUND((U384-T384)*1440,0),0)</f>
        <v/>
      </c>
    </row>
    <row r="385">
      <c r="A385" s="2" t="inlineStr">
        <is>
          <t>26666665-9</t>
        </is>
      </c>
      <c r="B385" s="3" t="inlineStr">
        <is>
          <t>Activo</t>
        </is>
      </c>
      <c r="C385" s="3" t="inlineStr">
        <is>
          <t>OLGA NAVARRO (EJEMPLO)</t>
        </is>
      </c>
      <c r="D385" s="3" t="inlineStr">
        <is>
          <t>IMAGENES</t>
        </is>
      </c>
      <c r="E385" s="4" t="n">
        <v>46302</v>
      </c>
      <c r="F385" s="3" t="inlineStr">
        <is>
          <t>Miércoles</t>
        </is>
      </c>
      <c r="G385" s="4" t="n">
        <v>46300</v>
      </c>
      <c r="H385" s="3" t="inlineStr">
        <is>
          <t>Mañana C/sábado</t>
        </is>
      </c>
      <c r="I385" s="3" t="inlineStr">
        <is>
          <t>TRABAJA</t>
        </is>
      </c>
      <c r="J385" s="5" t="n">
        <v>0.3333333333333333</v>
      </c>
      <c r="K385" s="5" t="n">
        <v>0.6875</v>
      </c>
      <c r="L385" s="5">
        <f>IF(COUNT(J385:K385)=2,K385-J385,0)</f>
        <v/>
      </c>
      <c r="M385" s="6">
        <f>L385*24</f>
        <v/>
      </c>
      <c r="N385" s="3" t="n">
        <v>60</v>
      </c>
      <c r="O385" s="6">
        <f>N385/60</f>
        <v/>
      </c>
      <c r="P385" s="6">
        <f>M385-O385</f>
        <v/>
      </c>
      <c r="Q385" s="6">
        <f>SUMIFS($P:$P,$A:$A,A385,$G:$G,G385)</f>
        <v/>
      </c>
      <c r="R385" s="5" t="n">
        <v>0.4166666666666667</v>
      </c>
      <c r="S385" s="5" t="n">
        <v>0.59375</v>
      </c>
      <c r="T385" s="5" t="n">
        <v>0.46875</v>
      </c>
      <c r="U385" s="5" t="n">
        <v>0.5104166666666666</v>
      </c>
      <c r="V385" s="3">
        <f>IF(COUNT(T385:U385)=2,ROUND((U385-T385)*1440,0),0)</f>
        <v/>
      </c>
    </row>
    <row r="386">
      <c r="A386" s="2" t="inlineStr">
        <is>
          <t>26666665-9</t>
        </is>
      </c>
      <c r="B386" s="3" t="inlineStr">
        <is>
          <t>Activo</t>
        </is>
      </c>
      <c r="C386" s="3" t="inlineStr">
        <is>
          <t>OLGA NAVARRO (EJEMPLO)</t>
        </is>
      </c>
      <c r="D386" s="3" t="inlineStr">
        <is>
          <t>IMAGENES</t>
        </is>
      </c>
      <c r="E386" s="4" t="n">
        <v>46303</v>
      </c>
      <c r="F386" s="3" t="inlineStr">
        <is>
          <t>Jueves</t>
        </is>
      </c>
      <c r="G386" s="4" t="n">
        <v>46300</v>
      </c>
      <c r="H386" s="3" t="inlineStr">
        <is>
          <t>Mañana C/sábado</t>
        </is>
      </c>
      <c r="I386" s="3" t="inlineStr">
        <is>
          <t>TRABAJA</t>
        </is>
      </c>
      <c r="J386" s="5" t="n">
        <v>0.3333333333333333</v>
      </c>
      <c r="K386" s="5" t="n">
        <v>0.6666666666666666</v>
      </c>
      <c r="L386" s="5">
        <f>IF(COUNT(J386:K386)=2,K386-J386,0)</f>
        <v/>
      </c>
      <c r="M386" s="6">
        <f>L386*24</f>
        <v/>
      </c>
      <c r="N386" s="3" t="n">
        <v>60</v>
      </c>
      <c r="O386" s="6">
        <f>N386/60</f>
        <v/>
      </c>
      <c r="P386" s="6">
        <f>M386-O386</f>
        <v/>
      </c>
      <c r="Q386" s="6">
        <f>SUMIFS($P:$P,$A:$A,A386,$G:$G,G386)</f>
        <v/>
      </c>
      <c r="R386" s="5" t="n">
        <v>0.4166666666666667</v>
      </c>
      <c r="S386" s="5" t="n">
        <v>0.6354166666666666</v>
      </c>
      <c r="T386" s="5" t="n">
        <v>0.46875</v>
      </c>
      <c r="U386" s="5" t="n">
        <v>0.5104166666666666</v>
      </c>
      <c r="V386" s="3">
        <f>IF(COUNT(T386:U386)=2,ROUND((U386-T386)*1440,0),0)</f>
        <v/>
      </c>
    </row>
    <row r="387">
      <c r="A387" s="2" t="inlineStr">
        <is>
          <t>26666665-9</t>
        </is>
      </c>
      <c r="B387" s="3" t="inlineStr">
        <is>
          <t>Activo</t>
        </is>
      </c>
      <c r="C387" s="3" t="inlineStr">
        <is>
          <t>OLGA NAVARRO (EJEMPLO)</t>
        </is>
      </c>
      <c r="D387" s="3" t="inlineStr">
        <is>
          <t>IMAGENES</t>
        </is>
      </c>
      <c r="E387" s="4" t="n">
        <v>46304</v>
      </c>
      <c r="F387" s="3" t="inlineStr">
        <is>
          <t>Viernes</t>
        </is>
      </c>
      <c r="G387" s="4" t="n">
        <v>46300</v>
      </c>
      <c r="H387" s="3" t="inlineStr">
        <is>
          <t>Mañana C/sábado</t>
        </is>
      </c>
      <c r="I387" s="3" t="inlineStr">
        <is>
          <t>TRABAJA</t>
        </is>
      </c>
      <c r="J387" s="5" t="n">
        <v>0.3333333333333333</v>
      </c>
      <c r="K387" s="5" t="n">
        <v>0.6666666666666666</v>
      </c>
      <c r="L387" s="5">
        <f>IF(COUNT(J387:K387)=2,K387-J387,0)</f>
        <v/>
      </c>
      <c r="M387" s="6">
        <f>L387*24</f>
        <v/>
      </c>
      <c r="N387" s="3" t="n">
        <v>60</v>
      </c>
      <c r="O387" s="6">
        <f>N387/60</f>
        <v/>
      </c>
      <c r="P387" s="6">
        <f>M387-O387</f>
        <v/>
      </c>
      <c r="Q387" s="6">
        <f>SUMIFS($P:$P,$A:$A,A387,$G:$G,G387)</f>
        <v/>
      </c>
      <c r="R387" s="5" t="n">
        <v>0.4166666666666667</v>
      </c>
      <c r="S387" s="5" t="n">
        <v>0.6041666666666666</v>
      </c>
      <c r="T387" s="5" t="n">
        <v>0.46875</v>
      </c>
      <c r="U387" s="5" t="n">
        <v>0.5104166666666666</v>
      </c>
      <c r="V387" s="3">
        <f>IF(COUNT(T387:U387)=2,ROUND((U387-T387)*1440,0),0)</f>
        <v/>
      </c>
    </row>
    <row r="388">
      <c r="A388" s="2" t="inlineStr">
        <is>
          <t>26666665-9</t>
        </is>
      </c>
      <c r="B388" s="3" t="inlineStr">
        <is>
          <t>Activo</t>
        </is>
      </c>
      <c r="C388" s="3" t="inlineStr">
        <is>
          <t>OLGA NAVARRO (EJEMPLO)</t>
        </is>
      </c>
      <c r="D388" s="3" t="inlineStr">
        <is>
          <t>IMAGENES</t>
        </is>
      </c>
      <c r="E388" s="4" t="n">
        <v>46305</v>
      </c>
      <c r="F388" s="3" t="inlineStr">
        <is>
          <t>Sábado</t>
        </is>
      </c>
      <c r="G388" s="4" t="n">
        <v>46300</v>
      </c>
      <c r="H388" s="3" t="inlineStr">
        <is>
          <t>Mañana C/sábado</t>
        </is>
      </c>
      <c r="I388" s="3" t="inlineStr">
        <is>
          <t>TRABAJA</t>
        </is>
      </c>
      <c r="J388" s="5" t="n">
        <v>0.3333333333333333</v>
      </c>
      <c r="K388" s="5" t="n">
        <v>0.5833333333333334</v>
      </c>
      <c r="L388" s="5">
        <f>IF(COUNT(J388:K388)=2,K388-J388,0)</f>
        <v/>
      </c>
      <c r="M388" s="6">
        <f>L388*24</f>
        <v/>
      </c>
      <c r="N388" s="3" t="n">
        <v>30</v>
      </c>
      <c r="O388" s="6">
        <f>N388/60</f>
        <v/>
      </c>
      <c r="P388" s="6">
        <f>M388-O388</f>
        <v/>
      </c>
      <c r="Q388" s="6">
        <f>SUMIFS($P:$P,$A:$A,A388,$G:$G,G388)</f>
        <v/>
      </c>
      <c r="R388" s="5" t="n"/>
      <c r="S388" s="5" t="n"/>
      <c r="T388" s="5" t="n">
        <v>0.4375</v>
      </c>
      <c r="U388" s="5" t="n">
        <v>0.4583333333333333</v>
      </c>
      <c r="V388" s="3">
        <f>IF(COUNT(T388:U388)=2,ROUND((U388-T388)*1440,0),0)</f>
        <v/>
      </c>
    </row>
    <row r="389">
      <c r="A389" s="2" t="inlineStr">
        <is>
          <t>26666665-9</t>
        </is>
      </c>
      <c r="B389" s="3" t="inlineStr">
        <is>
          <t>Activo</t>
        </is>
      </c>
      <c r="C389" s="3" t="inlineStr">
        <is>
          <t>OLGA NAVARRO (EJEMPLO)</t>
        </is>
      </c>
      <c r="D389" s="3" t="inlineStr">
        <is>
          <t>IMAGENES</t>
        </is>
      </c>
      <c r="E389" s="4" t="n">
        <v>46307</v>
      </c>
      <c r="F389" s="3" t="inlineStr">
        <is>
          <t>Lunes</t>
        </is>
      </c>
      <c r="G389" s="4" t="n">
        <v>46307</v>
      </c>
      <c r="H389" s="3" t="inlineStr">
        <is>
          <t>Intermedio S/sábado</t>
        </is>
      </c>
      <c r="I389" s="3" t="inlineStr">
        <is>
          <t>FERIADO</t>
        </is>
      </c>
      <c r="J389" s="5" t="n"/>
      <c r="K389" s="5" t="n"/>
      <c r="L389" s="5">
        <f>IF(COUNT(J389:K389)=2,K389-J389,0)</f>
        <v/>
      </c>
      <c r="M389" s="6">
        <f>L389*24</f>
        <v/>
      </c>
      <c r="N389" s="3" t="n">
        <v>0</v>
      </c>
      <c r="O389" s="6">
        <f>N389/60</f>
        <v/>
      </c>
      <c r="P389" s="6">
        <f>M389-O389</f>
        <v/>
      </c>
      <c r="Q389" s="6">
        <f>SUMIFS($P:$P,$A:$A,A389,$G:$G,G389)</f>
        <v/>
      </c>
      <c r="R389" s="5" t="n"/>
      <c r="S389" s="5" t="n"/>
      <c r="T389" s="5" t="n"/>
      <c r="U389" s="5" t="n"/>
      <c r="V389" s="3">
        <f>IF(COUNT(T389:U389)=2,ROUND((U389-T389)*1440,0),0)</f>
        <v/>
      </c>
    </row>
    <row r="390">
      <c r="A390" s="2" t="inlineStr">
        <is>
          <t>26666665-9</t>
        </is>
      </c>
      <c r="B390" s="3" t="inlineStr">
        <is>
          <t>Activo</t>
        </is>
      </c>
      <c r="C390" s="3" t="inlineStr">
        <is>
          <t>OLGA NAVARRO (EJEMPLO)</t>
        </is>
      </c>
      <c r="D390" s="3" t="inlineStr">
        <is>
          <t>IMAGENES</t>
        </is>
      </c>
      <c r="E390" s="4" t="n">
        <v>46308</v>
      </c>
      <c r="F390" s="3" t="inlineStr">
        <is>
          <t>Martes</t>
        </is>
      </c>
      <c r="G390" s="4" t="n">
        <v>46307</v>
      </c>
      <c r="H390" s="3" t="inlineStr">
        <is>
          <t>Intermedio S/sábado</t>
        </is>
      </c>
      <c r="I390" s="3" t="inlineStr">
        <is>
          <t>TRABAJA</t>
        </is>
      </c>
      <c r="J390" s="5" t="n">
        <v>0.375</v>
      </c>
      <c r="K390" s="5" t="n">
        <v>0.7916666666666666</v>
      </c>
      <c r="L390" s="5">
        <f>IF(COUNT(J390:K390)=2,K390-J390,0)</f>
        <v/>
      </c>
      <c r="M390" s="6">
        <f>L390*24</f>
        <v/>
      </c>
      <c r="N390" s="3" t="n">
        <v>60</v>
      </c>
      <c r="O390" s="6">
        <f>N390/60</f>
        <v/>
      </c>
      <c r="P390" s="6">
        <f>M390-O390</f>
        <v/>
      </c>
      <c r="Q390" s="6">
        <f>SUMIFS($P:$P,$A:$A,A390,$G:$G,G390)</f>
        <v/>
      </c>
      <c r="R390" s="5" t="n">
        <v>0.4583333333333333</v>
      </c>
      <c r="S390" s="5" t="n">
        <v>0.71875</v>
      </c>
      <c r="T390" s="5" t="n">
        <v>0.5520833333333334</v>
      </c>
      <c r="U390" s="5" t="n">
        <v>0.59375</v>
      </c>
      <c r="V390" s="3">
        <f>IF(COUNT(T390:U390)=2,ROUND((U390-T390)*1440,0),0)</f>
        <v/>
      </c>
    </row>
    <row r="391">
      <c r="A391" s="2" t="inlineStr">
        <is>
          <t>26666665-9</t>
        </is>
      </c>
      <c r="B391" s="3" t="inlineStr">
        <is>
          <t>Activo</t>
        </is>
      </c>
      <c r="C391" s="3" t="inlineStr">
        <is>
          <t>OLGA NAVARRO (EJEMPLO)</t>
        </is>
      </c>
      <c r="D391" s="3" t="inlineStr">
        <is>
          <t>IMAGENES</t>
        </is>
      </c>
      <c r="E391" s="4" t="n">
        <v>46309</v>
      </c>
      <c r="F391" s="3" t="inlineStr">
        <is>
          <t>Miércoles</t>
        </is>
      </c>
      <c r="G391" s="4" t="n">
        <v>46307</v>
      </c>
      <c r="H391" s="3" t="inlineStr">
        <is>
          <t>Intermedio S/sábado</t>
        </is>
      </c>
      <c r="I391" s="3" t="inlineStr">
        <is>
          <t>TRABAJA</t>
        </is>
      </c>
      <c r="J391" s="5" t="n">
        <v>0.375</v>
      </c>
      <c r="K391" s="5" t="n">
        <v>0.75</v>
      </c>
      <c r="L391" s="5">
        <f>IF(COUNT(J391:K391)=2,K391-J391,0)</f>
        <v/>
      </c>
      <c r="M391" s="6">
        <f>L391*24</f>
        <v/>
      </c>
      <c r="N391" s="3" t="n">
        <v>60</v>
      </c>
      <c r="O391" s="6">
        <f>N391/60</f>
        <v/>
      </c>
      <c r="P391" s="6">
        <f>M391-O391</f>
        <v/>
      </c>
      <c r="Q391" s="6">
        <f>SUMIFS($P:$P,$A:$A,A391,$G:$G,G391)</f>
        <v/>
      </c>
      <c r="R391" s="5" t="n">
        <v>0.4791666666666667</v>
      </c>
      <c r="S391" s="5" t="n">
        <v>0.7083333333333334</v>
      </c>
      <c r="T391" s="5" t="n">
        <v>0.5833333333333334</v>
      </c>
      <c r="U391" s="5" t="n">
        <v>0.625</v>
      </c>
      <c r="V391" s="3">
        <f>IF(COUNT(T391:U391)=2,ROUND((U391-T391)*1440,0),0)</f>
        <v/>
      </c>
    </row>
    <row r="392">
      <c r="A392" s="2" t="inlineStr">
        <is>
          <t>26666665-9</t>
        </is>
      </c>
      <c r="B392" s="3" t="inlineStr">
        <is>
          <t>Activo</t>
        </is>
      </c>
      <c r="C392" s="3" t="inlineStr">
        <is>
          <t>OLGA NAVARRO (EJEMPLO)</t>
        </is>
      </c>
      <c r="D392" s="3" t="inlineStr">
        <is>
          <t>IMAGENES</t>
        </is>
      </c>
      <c r="E392" s="4" t="n">
        <v>46310</v>
      </c>
      <c r="F392" s="3" t="inlineStr">
        <is>
          <t>Jueves</t>
        </is>
      </c>
      <c r="G392" s="4" t="n">
        <v>46307</v>
      </c>
      <c r="H392" s="3" t="inlineStr">
        <is>
          <t>Intermedio S/sábado</t>
        </is>
      </c>
      <c r="I392" s="3" t="inlineStr">
        <is>
          <t>TRABAJA</t>
        </is>
      </c>
      <c r="J392" s="5" t="n">
        <v>0.375</v>
      </c>
      <c r="K392" s="5" t="n">
        <v>0.75</v>
      </c>
      <c r="L392" s="5">
        <f>IF(COUNT(J392:K392)=2,K392-J392,0)</f>
        <v/>
      </c>
      <c r="M392" s="6">
        <f>L392*24</f>
        <v/>
      </c>
      <c r="N392" s="3" t="n">
        <v>60</v>
      </c>
      <c r="O392" s="6">
        <f>N392/60</f>
        <v/>
      </c>
      <c r="P392" s="6">
        <f>M392-O392</f>
        <v/>
      </c>
      <c r="Q392" s="6">
        <f>SUMIFS($P:$P,$A:$A,A392,$G:$G,G392)</f>
        <v/>
      </c>
      <c r="R392" s="5" t="n">
        <v>0.4583333333333333</v>
      </c>
      <c r="S392" s="5" t="n">
        <v>0.71875</v>
      </c>
      <c r="T392" s="5" t="n">
        <v>0.59375</v>
      </c>
      <c r="U392" s="5" t="n">
        <v>0.6354166666666666</v>
      </c>
      <c r="V392" s="3">
        <f>IF(COUNT(T392:U392)=2,ROUND((U392-T392)*1440,0),0)</f>
        <v/>
      </c>
    </row>
    <row r="393">
      <c r="A393" s="2" t="inlineStr">
        <is>
          <t>26666665-9</t>
        </is>
      </c>
      <c r="B393" s="3" t="inlineStr">
        <is>
          <t>Activo</t>
        </is>
      </c>
      <c r="C393" s="3" t="inlineStr">
        <is>
          <t>OLGA NAVARRO (EJEMPLO)</t>
        </is>
      </c>
      <c r="D393" s="3" t="inlineStr">
        <is>
          <t>IMAGENES</t>
        </is>
      </c>
      <c r="E393" s="4" t="n">
        <v>46311</v>
      </c>
      <c r="F393" s="3" t="inlineStr">
        <is>
          <t>Viernes</t>
        </is>
      </c>
      <c r="G393" s="4" t="n">
        <v>46307</v>
      </c>
      <c r="H393" s="3" t="inlineStr">
        <is>
          <t>Intermedio S/sábado</t>
        </is>
      </c>
      <c r="I393" s="3" t="inlineStr">
        <is>
          <t>TRABAJA</t>
        </is>
      </c>
      <c r="J393" s="5" t="n">
        <v>0.375</v>
      </c>
      <c r="K393" s="5" t="n">
        <v>0.75</v>
      </c>
      <c r="L393" s="5">
        <f>IF(COUNT(J393:K393)=2,K393-J393,0)</f>
        <v/>
      </c>
      <c r="M393" s="6">
        <f>L393*24</f>
        <v/>
      </c>
      <c r="N393" s="3" t="n">
        <v>60</v>
      </c>
      <c r="O393" s="6">
        <f>N393/60</f>
        <v/>
      </c>
      <c r="P393" s="6">
        <f>M393-O393</f>
        <v/>
      </c>
      <c r="Q393" s="6">
        <f>SUMIFS($P:$P,$A:$A,A393,$G:$G,G393)</f>
        <v/>
      </c>
      <c r="R393" s="5" t="n">
        <v>0.46875</v>
      </c>
      <c r="S393" s="5" t="n">
        <v>0.6979166666666666</v>
      </c>
      <c r="T393" s="5" t="n">
        <v>0.5520833333333334</v>
      </c>
      <c r="U393" s="5" t="n">
        <v>0.59375</v>
      </c>
      <c r="V393" s="3">
        <f>IF(COUNT(T393:U393)=2,ROUND((U393-T393)*1440,0),0)</f>
        <v/>
      </c>
    </row>
    <row r="394">
      <c r="A394" s="2" t="inlineStr">
        <is>
          <t>26666665-9</t>
        </is>
      </c>
      <c r="B394" s="3" t="inlineStr">
        <is>
          <t>Activo</t>
        </is>
      </c>
      <c r="C394" s="3" t="inlineStr">
        <is>
          <t>OLGA NAVARRO (EJEMPLO)</t>
        </is>
      </c>
      <c r="D394" s="3" t="inlineStr">
        <is>
          <t>IMAGENES</t>
        </is>
      </c>
      <c r="E394" s="4" t="n">
        <v>46312</v>
      </c>
      <c r="F394" s="3" t="inlineStr">
        <is>
          <t>Sábado</t>
        </is>
      </c>
      <c r="G394" s="4" t="n">
        <v>46307</v>
      </c>
      <c r="H394" s="3" t="inlineStr">
        <is>
          <t>Intermedio S/sábado</t>
        </is>
      </c>
      <c r="I394" s="3" t="inlineStr">
        <is>
          <t>LIBRE</t>
        </is>
      </c>
      <c r="J394" s="5" t="n"/>
      <c r="K394" s="5" t="n"/>
      <c r="L394" s="5">
        <f>IF(COUNT(J394:K394)=2,K394-J394,0)</f>
        <v/>
      </c>
      <c r="M394" s="6">
        <f>L394*24</f>
        <v/>
      </c>
      <c r="N394" s="3" t="n">
        <v>0</v>
      </c>
      <c r="O394" s="6">
        <f>N394/60</f>
        <v/>
      </c>
      <c r="P394" s="6">
        <f>M394-O394</f>
        <v/>
      </c>
      <c r="Q394" s="6">
        <f>SUMIFS($P:$P,$A:$A,A394,$G:$G,G394)</f>
        <v/>
      </c>
      <c r="R394" s="5" t="n"/>
      <c r="S394" s="5" t="n"/>
      <c r="T394" s="5" t="n"/>
      <c r="U394" s="5" t="n"/>
      <c r="V394" s="3">
        <f>IF(COUNT(T394:U394)=2,ROUND((U394-T394)*1440,0),0)</f>
        <v/>
      </c>
    </row>
    <row r="395">
      <c r="A395" s="2" t="inlineStr">
        <is>
          <t>26666665-9</t>
        </is>
      </c>
      <c r="B395" s="3" t="inlineStr">
        <is>
          <t>Activo</t>
        </is>
      </c>
      <c r="C395" s="3" t="inlineStr">
        <is>
          <t>OLGA NAVARRO (EJEMPLO)</t>
        </is>
      </c>
      <c r="D395" s="3" t="inlineStr">
        <is>
          <t>IMAGENES</t>
        </is>
      </c>
      <c r="E395" s="4" t="n">
        <v>46314</v>
      </c>
      <c r="F395" s="3" t="inlineStr">
        <is>
          <t>Lunes</t>
        </is>
      </c>
      <c r="G395" s="4" t="n">
        <v>46314</v>
      </c>
      <c r="H395" s="3" t="inlineStr">
        <is>
          <t>Intermedio S/sábado</t>
        </is>
      </c>
      <c r="I395" s="3" t="inlineStr">
        <is>
          <t>TRABAJA</t>
        </is>
      </c>
      <c r="J395" s="5" t="n">
        <v>0.375</v>
      </c>
      <c r="K395" s="5" t="n">
        <v>0.7916666666666666</v>
      </c>
      <c r="L395" s="5">
        <f>IF(COUNT(J395:K395)=2,K395-J395,0)</f>
        <v/>
      </c>
      <c r="M395" s="6">
        <f>L395*24</f>
        <v/>
      </c>
      <c r="N395" s="3" t="n">
        <v>60</v>
      </c>
      <c r="O395" s="6">
        <f>N395/60</f>
        <v/>
      </c>
      <c r="P395" s="6">
        <f>M395-O395</f>
        <v/>
      </c>
      <c r="Q395" s="6">
        <f>SUMIFS($P:$P,$A:$A,A395,$G:$G,G395)</f>
        <v/>
      </c>
      <c r="R395" s="5" t="n">
        <v>0.4583333333333333</v>
      </c>
      <c r="S395" s="5" t="n">
        <v>0.7291666666666666</v>
      </c>
      <c r="T395" s="5" t="n">
        <v>0.5833333333333334</v>
      </c>
      <c r="U395" s="5" t="n">
        <v>0.625</v>
      </c>
      <c r="V395" s="3">
        <f>IF(COUNT(T395:U395)=2,ROUND((U395-T395)*1440,0),0)</f>
        <v/>
      </c>
    </row>
    <row r="396">
      <c r="A396" s="2" t="inlineStr">
        <is>
          <t>26666665-9</t>
        </is>
      </c>
      <c r="B396" s="3" t="inlineStr">
        <is>
          <t>Activo</t>
        </is>
      </c>
      <c r="C396" s="3" t="inlineStr">
        <is>
          <t>OLGA NAVARRO (EJEMPLO)</t>
        </is>
      </c>
      <c r="D396" s="3" t="inlineStr">
        <is>
          <t>IMAGENES</t>
        </is>
      </c>
      <c r="E396" s="4" t="n">
        <v>46315</v>
      </c>
      <c r="F396" s="3" t="inlineStr">
        <is>
          <t>Martes</t>
        </is>
      </c>
      <c r="G396" s="4" t="n">
        <v>46314</v>
      </c>
      <c r="H396" s="3" t="inlineStr">
        <is>
          <t>Intermedio S/sábado</t>
        </is>
      </c>
      <c r="I396" s="3" t="inlineStr">
        <is>
          <t>TRABAJA</t>
        </is>
      </c>
      <c r="J396" s="5" t="n">
        <v>0.375</v>
      </c>
      <c r="K396" s="5" t="n">
        <v>0.7916666666666666</v>
      </c>
      <c r="L396" s="5">
        <f>IF(COUNT(J396:K396)=2,K396-J396,0)</f>
        <v/>
      </c>
      <c r="M396" s="6">
        <f>L396*24</f>
        <v/>
      </c>
      <c r="N396" s="3" t="n">
        <v>60</v>
      </c>
      <c r="O396" s="6">
        <f>N396/60</f>
        <v/>
      </c>
      <c r="P396" s="6">
        <f>M396-O396</f>
        <v/>
      </c>
      <c r="Q396" s="6">
        <f>SUMIFS($P:$P,$A:$A,A396,$G:$G,G396)</f>
        <v/>
      </c>
      <c r="R396" s="5" t="n">
        <v>0.4583333333333333</v>
      </c>
      <c r="S396" s="5" t="n">
        <v>0.7291666666666666</v>
      </c>
      <c r="T396" s="5" t="n">
        <v>0.5833333333333334</v>
      </c>
      <c r="U396" s="5" t="n">
        <v>0.625</v>
      </c>
      <c r="V396" s="3">
        <f>IF(COUNT(T396:U396)=2,ROUND((U396-T396)*1440,0),0)</f>
        <v/>
      </c>
    </row>
    <row r="397">
      <c r="A397" s="2" t="inlineStr">
        <is>
          <t>26666665-9</t>
        </is>
      </c>
      <c r="B397" s="3" t="inlineStr">
        <is>
          <t>Activo</t>
        </is>
      </c>
      <c r="C397" s="3" t="inlineStr">
        <is>
          <t>OLGA NAVARRO (EJEMPLO)</t>
        </is>
      </c>
      <c r="D397" s="3" t="inlineStr">
        <is>
          <t>IMAGENES</t>
        </is>
      </c>
      <c r="E397" s="4" t="n">
        <v>46316</v>
      </c>
      <c r="F397" s="3" t="inlineStr">
        <is>
          <t>Miércoles</t>
        </is>
      </c>
      <c r="G397" s="4" t="n">
        <v>46314</v>
      </c>
      <c r="H397" s="3" t="inlineStr">
        <is>
          <t>Intermedio S/sábado</t>
        </is>
      </c>
      <c r="I397" s="3" t="inlineStr">
        <is>
          <t>TRABAJA</t>
        </is>
      </c>
      <c r="J397" s="5" t="n">
        <v>0.375</v>
      </c>
      <c r="K397" s="5" t="n">
        <v>0.75</v>
      </c>
      <c r="L397" s="5">
        <f>IF(COUNT(J397:K397)=2,K397-J397,0)</f>
        <v/>
      </c>
      <c r="M397" s="6">
        <f>L397*24</f>
        <v/>
      </c>
      <c r="N397" s="3" t="n">
        <v>60</v>
      </c>
      <c r="O397" s="6">
        <f>N397/60</f>
        <v/>
      </c>
      <c r="P397" s="6">
        <f>M397-O397</f>
        <v/>
      </c>
      <c r="Q397" s="6">
        <f>SUMIFS($P:$P,$A:$A,A397,$G:$G,G397)</f>
        <v/>
      </c>
      <c r="R397" s="5" t="n">
        <v>0.46875</v>
      </c>
      <c r="S397" s="5" t="n">
        <v>0.7083333333333334</v>
      </c>
      <c r="T397" s="5" t="n">
        <v>0.5729166666666666</v>
      </c>
      <c r="U397" s="5" t="n">
        <v>0.6145833333333334</v>
      </c>
      <c r="V397" s="3">
        <f>IF(COUNT(T397:U397)=2,ROUND((U397-T397)*1440,0),0)</f>
        <v/>
      </c>
    </row>
    <row r="398">
      <c r="A398" s="2" t="inlineStr">
        <is>
          <t>26666665-9</t>
        </is>
      </c>
      <c r="B398" s="3" t="inlineStr">
        <is>
          <t>Activo</t>
        </is>
      </c>
      <c r="C398" s="3" t="inlineStr">
        <is>
          <t>OLGA NAVARRO (EJEMPLO)</t>
        </is>
      </c>
      <c r="D398" s="3" t="inlineStr">
        <is>
          <t>IMAGENES</t>
        </is>
      </c>
      <c r="E398" s="4" t="n">
        <v>46317</v>
      </c>
      <c r="F398" s="3" t="inlineStr">
        <is>
          <t>Jueves</t>
        </is>
      </c>
      <c r="G398" s="4" t="n">
        <v>46314</v>
      </c>
      <c r="H398" s="3" t="inlineStr">
        <is>
          <t>Intermedio S/sábado</t>
        </is>
      </c>
      <c r="I398" s="3" t="inlineStr">
        <is>
          <t>TRABAJA</t>
        </is>
      </c>
      <c r="J398" s="5" t="n">
        <v>0.375</v>
      </c>
      <c r="K398" s="5" t="n">
        <v>0.75</v>
      </c>
      <c r="L398" s="5">
        <f>IF(COUNT(J398:K398)=2,K398-J398,0)</f>
        <v/>
      </c>
      <c r="M398" s="6">
        <f>L398*24</f>
        <v/>
      </c>
      <c r="N398" s="3" t="n">
        <v>60</v>
      </c>
      <c r="O398" s="6">
        <f>N398/60</f>
        <v/>
      </c>
      <c r="P398" s="6">
        <f>M398-O398</f>
        <v/>
      </c>
      <c r="Q398" s="6">
        <f>SUMIFS($P:$P,$A:$A,A398,$G:$G,G398)</f>
        <v/>
      </c>
      <c r="R398" s="5" t="n">
        <v>0.46875</v>
      </c>
      <c r="S398" s="5" t="n">
        <v>0.71875</v>
      </c>
      <c r="T398" s="5" t="n">
        <v>0.59375</v>
      </c>
      <c r="U398" s="5" t="n">
        <v>0.6354166666666666</v>
      </c>
      <c r="V398" s="3">
        <f>IF(COUNT(T398:U398)=2,ROUND((U398-T398)*1440,0),0)</f>
        <v/>
      </c>
    </row>
    <row r="399">
      <c r="A399" s="2" t="inlineStr">
        <is>
          <t>26666665-9</t>
        </is>
      </c>
      <c r="B399" s="3" t="inlineStr">
        <is>
          <t>Activo</t>
        </is>
      </c>
      <c r="C399" s="3" t="inlineStr">
        <is>
          <t>OLGA NAVARRO (EJEMPLO)</t>
        </is>
      </c>
      <c r="D399" s="3" t="inlineStr">
        <is>
          <t>IMAGENES</t>
        </is>
      </c>
      <c r="E399" s="4" t="n">
        <v>46318</v>
      </c>
      <c r="F399" s="3" t="inlineStr">
        <is>
          <t>Viernes</t>
        </is>
      </c>
      <c r="G399" s="4" t="n">
        <v>46314</v>
      </c>
      <c r="H399" s="3" t="inlineStr">
        <is>
          <t>Intermedio S/sábado</t>
        </is>
      </c>
      <c r="I399" s="3" t="inlineStr">
        <is>
          <t>TRABAJA</t>
        </is>
      </c>
      <c r="J399" s="5" t="n">
        <v>0.375</v>
      </c>
      <c r="K399" s="5" t="n">
        <v>0.75</v>
      </c>
      <c r="L399" s="5">
        <f>IF(COUNT(J399:K399)=2,K399-J399,0)</f>
        <v/>
      </c>
      <c r="M399" s="6">
        <f>L399*24</f>
        <v/>
      </c>
      <c r="N399" s="3" t="n">
        <v>60</v>
      </c>
      <c r="O399" s="6">
        <f>N399/60</f>
        <v/>
      </c>
      <c r="P399" s="6">
        <f>M399-O399</f>
        <v/>
      </c>
      <c r="Q399" s="6">
        <f>SUMIFS($P:$P,$A:$A,A399,$G:$G,G399)</f>
        <v/>
      </c>
      <c r="R399" s="5" t="n">
        <v>0.4791666666666667</v>
      </c>
      <c r="S399" s="5" t="n">
        <v>0.71875</v>
      </c>
      <c r="T399" s="5" t="n">
        <v>0.59375</v>
      </c>
      <c r="U399" s="5" t="n">
        <v>0.6354166666666666</v>
      </c>
      <c r="V399" s="3">
        <f>IF(COUNT(T399:U399)=2,ROUND((U399-T399)*1440,0),0)</f>
        <v/>
      </c>
    </row>
    <row r="400">
      <c r="A400" s="2" t="inlineStr">
        <is>
          <t>26666665-9</t>
        </is>
      </c>
      <c r="B400" s="3" t="inlineStr">
        <is>
          <t>Activo</t>
        </is>
      </c>
      <c r="C400" s="3" t="inlineStr">
        <is>
          <t>OLGA NAVARRO (EJEMPLO)</t>
        </is>
      </c>
      <c r="D400" s="3" t="inlineStr">
        <is>
          <t>IMAGENES</t>
        </is>
      </c>
      <c r="E400" s="4" t="n">
        <v>46319</v>
      </c>
      <c r="F400" s="3" t="inlineStr">
        <is>
          <t>Sábado</t>
        </is>
      </c>
      <c r="G400" s="4" t="n">
        <v>46314</v>
      </c>
      <c r="H400" s="3" t="inlineStr">
        <is>
          <t>Intermedio S/sábado</t>
        </is>
      </c>
      <c r="I400" s="3" t="inlineStr">
        <is>
          <t>LIBRE</t>
        </is>
      </c>
      <c r="J400" s="5" t="n"/>
      <c r="K400" s="5" t="n"/>
      <c r="L400" s="5">
        <f>IF(COUNT(J400:K400)=2,K400-J400,0)</f>
        <v/>
      </c>
      <c r="M400" s="6">
        <f>L400*24</f>
        <v/>
      </c>
      <c r="N400" s="3" t="n">
        <v>0</v>
      </c>
      <c r="O400" s="6">
        <f>N400/60</f>
        <v/>
      </c>
      <c r="P400" s="6">
        <f>M400-O400</f>
        <v/>
      </c>
      <c r="Q400" s="6">
        <f>SUMIFS($P:$P,$A:$A,A400,$G:$G,G400)</f>
        <v/>
      </c>
      <c r="R400" s="5" t="n"/>
      <c r="S400" s="5" t="n"/>
      <c r="T400" s="5" t="n"/>
      <c r="U400" s="5" t="n"/>
      <c r="V400" s="3">
        <f>IF(COUNT(T400:U400)=2,ROUND((U400-T400)*1440,0),0)</f>
        <v/>
      </c>
    </row>
    <row r="401">
      <c r="A401" s="2" t="inlineStr">
        <is>
          <t>26666665-9</t>
        </is>
      </c>
      <c r="B401" s="3" t="inlineStr">
        <is>
          <t>Activo</t>
        </is>
      </c>
      <c r="C401" s="3" t="inlineStr">
        <is>
          <t>OLGA NAVARRO (EJEMPLO)</t>
        </is>
      </c>
      <c r="D401" s="3" t="inlineStr">
        <is>
          <t>IMAGENES</t>
        </is>
      </c>
      <c r="E401" s="4" t="n">
        <v>46321</v>
      </c>
      <c r="F401" s="3" t="inlineStr">
        <is>
          <t>Lunes</t>
        </is>
      </c>
      <c r="G401" s="4" t="n">
        <v>46321</v>
      </c>
      <c r="H401" s="3" t="inlineStr">
        <is>
          <t>Tarde C/sábado</t>
        </is>
      </c>
      <c r="I401" s="3" t="inlineStr">
        <is>
          <t>TRABAJA</t>
        </is>
      </c>
      <c r="J401" s="5" t="n">
        <v>0.4791666666666667</v>
      </c>
      <c r="K401" s="5" t="n">
        <v>0.8333333333333334</v>
      </c>
      <c r="L401" s="5">
        <f>IF(COUNT(J401:K401)=2,K401-J401,0)</f>
        <v/>
      </c>
      <c r="M401" s="6">
        <f>L401*24</f>
        <v/>
      </c>
      <c r="N401" s="3" t="n">
        <v>60</v>
      </c>
      <c r="O401" s="6">
        <f>N401/60</f>
        <v/>
      </c>
      <c r="P401" s="6">
        <f>M401-O401</f>
        <v/>
      </c>
      <c r="Q401" s="6">
        <f>SUMIFS($P:$P,$A:$A,A401,$G:$G,G401)</f>
        <v/>
      </c>
      <c r="R401" s="5" t="n">
        <v>0.5729166666666666</v>
      </c>
      <c r="S401" s="5" t="n">
        <v>0.7916666666666666</v>
      </c>
      <c r="T401" s="5" t="n">
        <v>0.6666666666666666</v>
      </c>
      <c r="U401" s="5" t="n">
        <v>0.7083333333333334</v>
      </c>
      <c r="V401" s="3">
        <f>IF(COUNT(T401:U401)=2,ROUND((U401-T401)*1440,0),0)</f>
        <v/>
      </c>
    </row>
    <row r="402">
      <c r="A402" s="2" t="inlineStr">
        <is>
          <t>26666665-9</t>
        </is>
      </c>
      <c r="B402" s="3" t="inlineStr">
        <is>
          <t>Activo</t>
        </is>
      </c>
      <c r="C402" s="3" t="inlineStr">
        <is>
          <t>OLGA NAVARRO (EJEMPLO)</t>
        </is>
      </c>
      <c r="D402" s="3" t="inlineStr">
        <is>
          <t>IMAGENES</t>
        </is>
      </c>
      <c r="E402" s="4" t="n">
        <v>46322</v>
      </c>
      <c r="F402" s="3" t="inlineStr">
        <is>
          <t>Martes</t>
        </is>
      </c>
      <c r="G402" s="4" t="n">
        <v>46321</v>
      </c>
      <c r="H402" s="3" t="inlineStr">
        <is>
          <t>Tarde C/sábado</t>
        </is>
      </c>
      <c r="I402" s="3" t="inlineStr">
        <is>
          <t>TRABAJA</t>
        </is>
      </c>
      <c r="J402" s="5" t="n">
        <v>0.4791666666666667</v>
      </c>
      <c r="K402" s="5" t="n">
        <v>0.8333333333333334</v>
      </c>
      <c r="L402" s="5">
        <f>IF(COUNT(J402:K402)=2,K402-J402,0)</f>
        <v/>
      </c>
      <c r="M402" s="6">
        <f>L402*24</f>
        <v/>
      </c>
      <c r="N402" s="3" t="n">
        <v>60</v>
      </c>
      <c r="O402" s="6">
        <f>N402/60</f>
        <v/>
      </c>
      <c r="P402" s="6">
        <f>M402-O402</f>
        <v/>
      </c>
      <c r="Q402" s="6">
        <f>SUMIFS($P:$P,$A:$A,A402,$G:$G,G402)</f>
        <v/>
      </c>
      <c r="R402" s="5" t="n">
        <v>0.5729166666666666</v>
      </c>
      <c r="S402" s="5" t="n">
        <v>0.7916666666666666</v>
      </c>
      <c r="T402" s="5" t="n">
        <v>0.6666666666666666</v>
      </c>
      <c r="U402" s="5" t="n">
        <v>0.7083333333333334</v>
      </c>
      <c r="V402" s="3">
        <f>IF(COUNT(T402:U402)=2,ROUND((U402-T402)*1440,0),0)</f>
        <v/>
      </c>
    </row>
    <row r="403">
      <c r="A403" s="2" t="inlineStr">
        <is>
          <t>26666665-9</t>
        </is>
      </c>
      <c r="B403" s="3" t="inlineStr">
        <is>
          <t>Activo</t>
        </is>
      </c>
      <c r="C403" s="3" t="inlineStr">
        <is>
          <t>OLGA NAVARRO (EJEMPLO)</t>
        </is>
      </c>
      <c r="D403" s="3" t="inlineStr">
        <is>
          <t>IMAGENES</t>
        </is>
      </c>
      <c r="E403" s="4" t="n">
        <v>46323</v>
      </c>
      <c r="F403" s="3" t="inlineStr">
        <is>
          <t>Miércoles</t>
        </is>
      </c>
      <c r="G403" s="4" t="n">
        <v>46321</v>
      </c>
      <c r="H403" s="3" t="inlineStr">
        <is>
          <t>Tarde C/sábado</t>
        </is>
      </c>
      <c r="I403" s="3" t="inlineStr">
        <is>
          <t>TRABAJA</t>
        </is>
      </c>
      <c r="J403" s="5" t="n">
        <v>0.4791666666666667</v>
      </c>
      <c r="K403" s="5" t="n">
        <v>0.8333333333333334</v>
      </c>
      <c r="L403" s="5">
        <f>IF(COUNT(J403:K403)=2,K403-J403,0)</f>
        <v/>
      </c>
      <c r="M403" s="6">
        <f>L403*24</f>
        <v/>
      </c>
      <c r="N403" s="3" t="n">
        <v>60</v>
      </c>
      <c r="O403" s="6">
        <f>N403/60</f>
        <v/>
      </c>
      <c r="P403" s="6">
        <f>M403-O403</f>
        <v/>
      </c>
      <c r="Q403" s="6">
        <f>SUMIFS($P:$P,$A:$A,A403,$G:$G,G403)</f>
        <v/>
      </c>
      <c r="R403" s="5" t="n">
        <v>0.5729166666666666</v>
      </c>
      <c r="S403" s="5" t="n">
        <v>0.7916666666666666</v>
      </c>
      <c r="T403" s="5" t="n">
        <v>0.6666666666666666</v>
      </c>
      <c r="U403" s="5" t="n">
        <v>0.7083333333333334</v>
      </c>
      <c r="V403" s="3">
        <f>IF(COUNT(T403:U403)=2,ROUND((U403-T403)*1440,0),0)</f>
        <v/>
      </c>
    </row>
    <row r="404">
      <c r="A404" s="2" t="inlineStr">
        <is>
          <t>26666665-9</t>
        </is>
      </c>
      <c r="B404" s="3" t="inlineStr">
        <is>
          <t>Activo</t>
        </is>
      </c>
      <c r="C404" s="3" t="inlineStr">
        <is>
          <t>OLGA NAVARRO (EJEMPLO)</t>
        </is>
      </c>
      <c r="D404" s="3" t="inlineStr">
        <is>
          <t>IMAGENES</t>
        </is>
      </c>
      <c r="E404" s="4" t="n">
        <v>46324</v>
      </c>
      <c r="F404" s="3" t="inlineStr">
        <is>
          <t>Jueves</t>
        </is>
      </c>
      <c r="G404" s="4" t="n">
        <v>46321</v>
      </c>
      <c r="H404" s="3" t="inlineStr">
        <is>
          <t>Tarde C/sábado</t>
        </is>
      </c>
      <c r="I404" s="3" t="inlineStr">
        <is>
          <t>TRABAJA</t>
        </is>
      </c>
      <c r="J404" s="5" t="n">
        <v>0.5</v>
      </c>
      <c r="K404" s="5" t="n">
        <v>0.8333333333333334</v>
      </c>
      <c r="L404" s="5">
        <f>IF(COUNT(J404:K404)=2,K404-J404,0)</f>
        <v/>
      </c>
      <c r="M404" s="6">
        <f>L404*24</f>
        <v/>
      </c>
      <c r="N404" s="3" t="n">
        <v>60</v>
      </c>
      <c r="O404" s="6">
        <f>N404/60</f>
        <v/>
      </c>
      <c r="P404" s="6">
        <f>M404-O404</f>
        <v/>
      </c>
      <c r="Q404" s="6">
        <f>SUMIFS($P:$P,$A:$A,A404,$G:$G,G404)</f>
        <v/>
      </c>
      <c r="R404" s="5" t="n">
        <v>0.5833333333333334</v>
      </c>
      <c r="S404" s="5" t="n">
        <v>0.7604166666666666</v>
      </c>
      <c r="T404" s="5" t="n">
        <v>0.6354166666666666</v>
      </c>
      <c r="U404" s="5" t="n">
        <v>0.6770833333333334</v>
      </c>
      <c r="V404" s="3">
        <f>IF(COUNT(T404:U404)=2,ROUND((U404-T404)*1440,0),0)</f>
        <v/>
      </c>
    </row>
    <row r="405">
      <c r="A405" s="2" t="inlineStr">
        <is>
          <t>26666665-9</t>
        </is>
      </c>
      <c r="B405" s="3" t="inlineStr">
        <is>
          <t>Activo</t>
        </is>
      </c>
      <c r="C405" s="3" t="inlineStr">
        <is>
          <t>OLGA NAVARRO (EJEMPLO)</t>
        </is>
      </c>
      <c r="D405" s="3" t="inlineStr">
        <is>
          <t>IMAGENES</t>
        </is>
      </c>
      <c r="E405" s="4" t="n">
        <v>46325</v>
      </c>
      <c r="F405" s="3" t="inlineStr">
        <is>
          <t>Viernes</t>
        </is>
      </c>
      <c r="G405" s="4" t="n">
        <v>46321</v>
      </c>
      <c r="H405" s="3" t="inlineStr">
        <is>
          <t>Tarde C/sábado</t>
        </is>
      </c>
      <c r="I405" s="3" t="inlineStr">
        <is>
          <t>TRABAJA</t>
        </is>
      </c>
      <c r="J405" s="5" t="n">
        <v>0.5</v>
      </c>
      <c r="K405" s="5" t="n">
        <v>0.8333333333333334</v>
      </c>
      <c r="L405" s="5">
        <f>IF(COUNT(J405:K405)=2,K405-J405,0)</f>
        <v/>
      </c>
      <c r="M405" s="6">
        <f>L405*24</f>
        <v/>
      </c>
      <c r="N405" s="3" t="n">
        <v>60</v>
      </c>
      <c r="O405" s="6">
        <f>N405/60</f>
        <v/>
      </c>
      <c r="P405" s="6">
        <f>M405-O405</f>
        <v/>
      </c>
      <c r="Q405" s="6">
        <f>SUMIFS($P:$P,$A:$A,A405,$G:$G,G405)</f>
        <v/>
      </c>
      <c r="R405" s="5" t="n">
        <v>0.5833333333333334</v>
      </c>
      <c r="S405" s="5" t="n">
        <v>0.7604166666666666</v>
      </c>
      <c r="T405" s="5" t="n">
        <v>0.6354166666666666</v>
      </c>
      <c r="U405" s="5" t="n">
        <v>0.6770833333333334</v>
      </c>
      <c r="V405" s="3">
        <f>IF(COUNT(T405:U405)=2,ROUND((U405-T405)*1440,0),0)</f>
        <v/>
      </c>
    </row>
    <row r="406">
      <c r="A406" s="2" t="inlineStr">
        <is>
          <t>26666665-9</t>
        </is>
      </c>
      <c r="B406" s="3" t="inlineStr">
        <is>
          <t>Activo</t>
        </is>
      </c>
      <c r="C406" s="3" t="inlineStr">
        <is>
          <t>OLGA NAVARRO (EJEMPLO)</t>
        </is>
      </c>
      <c r="D406" s="3" t="inlineStr">
        <is>
          <t>IMAGENES</t>
        </is>
      </c>
      <c r="E406" s="4" t="n">
        <v>46326</v>
      </c>
      <c r="F406" s="3" t="inlineStr">
        <is>
          <t>Sábado</t>
        </is>
      </c>
      <c r="G406" s="4" t="n">
        <v>46321</v>
      </c>
      <c r="H406" s="3" t="inlineStr">
        <is>
          <t>Tarde C/sábado</t>
        </is>
      </c>
      <c r="I406" s="3" t="inlineStr">
        <is>
          <t>FERIADO</t>
        </is>
      </c>
      <c r="J406" s="5" t="n"/>
      <c r="K406" s="5" t="n"/>
      <c r="L406" s="5">
        <f>IF(COUNT(J406:K406)=2,K406-J406,0)</f>
        <v/>
      </c>
      <c r="M406" s="6">
        <f>L406*24</f>
        <v/>
      </c>
      <c r="N406" s="3" t="n">
        <v>0</v>
      </c>
      <c r="O406" s="6">
        <f>N406/60</f>
        <v/>
      </c>
      <c r="P406" s="6">
        <f>M406-O406</f>
        <v/>
      </c>
      <c r="Q406" s="6">
        <f>SUMIFS($P:$P,$A:$A,A406,$G:$G,G406)</f>
        <v/>
      </c>
      <c r="R406" s="5" t="n"/>
      <c r="S406" s="5" t="n"/>
      <c r="T406" s="5" t="n"/>
      <c r="U406" s="5" t="n"/>
      <c r="V406" s="3">
        <f>IF(COUNT(T406:U406)=2,ROUND((U406-T406)*1440,0),0)</f>
        <v/>
      </c>
    </row>
    <row r="407">
      <c r="A407" s="2" t="inlineStr">
        <is>
          <t>27777776-2</t>
        </is>
      </c>
      <c r="B407" s="3" t="inlineStr">
        <is>
          <t>Activo</t>
        </is>
      </c>
      <c r="C407" s="3" t="inlineStr">
        <is>
          <t>PABLO HERRERA (EJEMPLO)</t>
        </is>
      </c>
      <c r="D407" s="3" t="inlineStr">
        <is>
          <t>IMAGENES</t>
        </is>
      </c>
      <c r="E407" s="4" t="n">
        <v>46296</v>
      </c>
      <c r="F407" s="3" t="inlineStr">
        <is>
          <t>Jueves</t>
        </is>
      </c>
      <c r="G407" s="4" t="n">
        <v>46293</v>
      </c>
      <c r="H407" s="3" t="inlineStr">
        <is>
          <t>Mañana C/sábado</t>
        </is>
      </c>
      <c r="I407" s="3" t="inlineStr">
        <is>
          <t>TRABAJA</t>
        </is>
      </c>
      <c r="J407" s="5" t="n">
        <v>0.3333333333333333</v>
      </c>
      <c r="K407" s="5" t="n">
        <v>0.6666666666666666</v>
      </c>
      <c r="L407" s="5">
        <f>IF(COUNT(J407:K407)=2,K407-J407,0)</f>
        <v/>
      </c>
      <c r="M407" s="6">
        <f>L407*24</f>
        <v/>
      </c>
      <c r="N407" s="3" t="n">
        <v>60</v>
      </c>
      <c r="O407" s="6">
        <f>N407/60</f>
        <v/>
      </c>
      <c r="P407" s="6">
        <f>M407-O407</f>
        <v/>
      </c>
      <c r="Q407" s="6">
        <f>SUMIFS($P:$P,$A:$A,A407,$G:$G,G407)</f>
        <v/>
      </c>
      <c r="R407" s="5" t="n">
        <v>0.4479166666666667</v>
      </c>
      <c r="S407" s="5" t="n">
        <v>0.6354166666666666</v>
      </c>
      <c r="T407" s="5" t="n">
        <v>0.5104166666666666</v>
      </c>
      <c r="U407" s="5" t="n">
        <v>0.5520833333333334</v>
      </c>
      <c r="V407" s="3">
        <f>IF(COUNT(T407:U407)=2,ROUND((U407-T407)*1440,0),0)</f>
        <v/>
      </c>
    </row>
    <row r="408">
      <c r="A408" s="2" t="inlineStr">
        <is>
          <t>27777776-2</t>
        </is>
      </c>
      <c r="B408" s="3" t="inlineStr">
        <is>
          <t>Activo</t>
        </is>
      </c>
      <c r="C408" s="3" t="inlineStr">
        <is>
          <t>PABLO HERRERA (EJEMPLO)</t>
        </is>
      </c>
      <c r="D408" s="3" t="inlineStr">
        <is>
          <t>IMAGENES</t>
        </is>
      </c>
      <c r="E408" s="4" t="n">
        <v>46297</v>
      </c>
      <c r="F408" s="3" t="inlineStr">
        <is>
          <t>Viernes</t>
        </is>
      </c>
      <c r="G408" s="4" t="n">
        <v>46293</v>
      </c>
      <c r="H408" s="3" t="inlineStr">
        <is>
          <t>Mañana C/sábado</t>
        </is>
      </c>
      <c r="I408" s="3" t="inlineStr">
        <is>
          <t>TRABAJA</t>
        </is>
      </c>
      <c r="J408" s="5" t="n">
        <v>0.3333333333333333</v>
      </c>
      <c r="K408" s="5" t="n">
        <v>0.6666666666666666</v>
      </c>
      <c r="L408" s="5">
        <f>IF(COUNT(J408:K408)=2,K408-J408,0)</f>
        <v/>
      </c>
      <c r="M408" s="6">
        <f>L408*24</f>
        <v/>
      </c>
      <c r="N408" s="3" t="n">
        <v>60</v>
      </c>
      <c r="O408" s="6">
        <f>N408/60</f>
        <v/>
      </c>
      <c r="P408" s="6">
        <f>M408-O408</f>
        <v/>
      </c>
      <c r="Q408" s="6">
        <f>SUMIFS($P:$P,$A:$A,A408,$G:$G,G408)</f>
        <v/>
      </c>
      <c r="R408" s="5" t="n">
        <v>0.4479166666666667</v>
      </c>
      <c r="S408" s="5" t="n">
        <v>0.6354166666666666</v>
      </c>
      <c r="T408" s="5" t="n">
        <v>0.5104166666666666</v>
      </c>
      <c r="U408" s="5" t="n">
        <v>0.5520833333333334</v>
      </c>
      <c r="V408" s="3">
        <f>IF(COUNT(T408:U408)=2,ROUND((U408-T408)*1440,0),0)</f>
        <v/>
      </c>
    </row>
    <row r="409">
      <c r="A409" s="2" t="inlineStr">
        <is>
          <t>27777776-2</t>
        </is>
      </c>
      <c r="B409" s="3" t="inlineStr">
        <is>
          <t>Activo</t>
        </is>
      </c>
      <c r="C409" s="3" t="inlineStr">
        <is>
          <t>PABLO HERRERA (EJEMPLO)</t>
        </is>
      </c>
      <c r="D409" s="3" t="inlineStr">
        <is>
          <t>IMAGENES</t>
        </is>
      </c>
      <c r="E409" s="4" t="n">
        <v>46298</v>
      </c>
      <c r="F409" s="3" t="inlineStr">
        <is>
          <t>Sábado</t>
        </is>
      </c>
      <c r="G409" s="4" t="n">
        <v>46293</v>
      </c>
      <c r="H409" s="3" t="inlineStr">
        <is>
          <t>Mañana C/sábado</t>
        </is>
      </c>
      <c r="I409" s="3" t="inlineStr">
        <is>
          <t>TRABAJA</t>
        </is>
      </c>
      <c r="J409" s="5" t="n">
        <v>0.3333333333333333</v>
      </c>
      <c r="K409" s="5" t="n">
        <v>0.5833333333333334</v>
      </c>
      <c r="L409" s="5">
        <f>IF(COUNT(J409:K409)=2,K409-J409,0)</f>
        <v/>
      </c>
      <c r="M409" s="6">
        <f>L409*24</f>
        <v/>
      </c>
      <c r="N409" s="3" t="n">
        <v>30</v>
      </c>
      <c r="O409" s="6">
        <f>N409/60</f>
        <v/>
      </c>
      <c r="P409" s="6">
        <f>M409-O409</f>
        <v/>
      </c>
      <c r="Q409" s="6">
        <f>SUMIFS($P:$P,$A:$A,A409,$G:$G,G409)</f>
        <v/>
      </c>
      <c r="R409" s="5" t="n"/>
      <c r="S409" s="5" t="n"/>
      <c r="T409" s="5" t="n">
        <v>0.4583333333333333</v>
      </c>
      <c r="U409" s="5" t="n">
        <v>0.4791666666666667</v>
      </c>
      <c r="V409" s="3">
        <f>IF(COUNT(T409:U409)=2,ROUND((U409-T409)*1440,0),0)</f>
        <v/>
      </c>
    </row>
    <row r="410">
      <c r="A410" s="2" t="inlineStr">
        <is>
          <t>27777776-2</t>
        </is>
      </c>
      <c r="B410" s="3" t="inlineStr">
        <is>
          <t>Activo</t>
        </is>
      </c>
      <c r="C410" s="3" t="inlineStr">
        <is>
          <t>PABLO HERRERA (EJEMPLO)</t>
        </is>
      </c>
      <c r="D410" s="3" t="inlineStr">
        <is>
          <t>IMAGENES</t>
        </is>
      </c>
      <c r="E410" s="4" t="n">
        <v>46300</v>
      </c>
      <c r="F410" s="3" t="inlineStr">
        <is>
          <t>Lunes</t>
        </is>
      </c>
      <c r="G410" s="4" t="n">
        <v>46300</v>
      </c>
      <c r="H410" s="3" t="inlineStr">
        <is>
          <t>Intermedio S/sábado</t>
        </is>
      </c>
      <c r="I410" s="3" t="inlineStr">
        <is>
          <t>TRABAJA</t>
        </is>
      </c>
      <c r="J410" s="5" t="n">
        <v>0.375</v>
      </c>
      <c r="K410" s="5" t="n">
        <v>0.7916666666666666</v>
      </c>
      <c r="L410" s="5">
        <f>IF(COUNT(J410:K410)=2,K410-J410,0)</f>
        <v/>
      </c>
      <c r="M410" s="6">
        <f>L410*24</f>
        <v/>
      </c>
      <c r="N410" s="3" t="n">
        <v>60</v>
      </c>
      <c r="O410" s="6">
        <f>N410/60</f>
        <v/>
      </c>
      <c r="P410" s="6">
        <f>M410-O410</f>
        <v/>
      </c>
      <c r="Q410" s="6">
        <f>SUMIFS($P:$P,$A:$A,A410,$G:$G,G410)</f>
        <v/>
      </c>
      <c r="R410" s="5" t="n">
        <v>0.4583333333333333</v>
      </c>
      <c r="S410" s="5" t="n">
        <v>0.71875</v>
      </c>
      <c r="T410" s="5" t="n">
        <v>0.59375</v>
      </c>
      <c r="U410" s="5" t="n">
        <v>0.6354166666666666</v>
      </c>
      <c r="V410" s="3">
        <f>IF(COUNT(T410:U410)=2,ROUND((U410-T410)*1440,0),0)</f>
        <v/>
      </c>
    </row>
    <row r="411">
      <c r="A411" s="2" t="inlineStr">
        <is>
          <t>27777776-2</t>
        </is>
      </c>
      <c r="B411" s="3" t="inlineStr">
        <is>
          <t>Activo</t>
        </is>
      </c>
      <c r="C411" s="3" t="inlineStr">
        <is>
          <t>PABLO HERRERA (EJEMPLO)</t>
        </is>
      </c>
      <c r="D411" s="3" t="inlineStr">
        <is>
          <t>IMAGENES</t>
        </is>
      </c>
      <c r="E411" s="4" t="n">
        <v>46301</v>
      </c>
      <c r="F411" s="3" t="inlineStr">
        <is>
          <t>Martes</t>
        </is>
      </c>
      <c r="G411" s="4" t="n">
        <v>46300</v>
      </c>
      <c r="H411" s="3" t="inlineStr">
        <is>
          <t>Intermedio S/sábado</t>
        </is>
      </c>
      <c r="I411" s="3" t="inlineStr">
        <is>
          <t>TRABAJA</t>
        </is>
      </c>
      <c r="J411" s="5" t="n">
        <v>0.375</v>
      </c>
      <c r="K411" s="5" t="n">
        <v>0.7916666666666666</v>
      </c>
      <c r="L411" s="5">
        <f>IF(COUNT(J411:K411)=2,K411-J411,0)</f>
        <v/>
      </c>
      <c r="M411" s="6">
        <f>L411*24</f>
        <v/>
      </c>
      <c r="N411" s="3" t="n">
        <v>60</v>
      </c>
      <c r="O411" s="6">
        <f>N411/60</f>
        <v/>
      </c>
      <c r="P411" s="6">
        <f>M411-O411</f>
        <v/>
      </c>
      <c r="Q411" s="6">
        <f>SUMIFS($P:$P,$A:$A,A411,$G:$G,G411)</f>
        <v/>
      </c>
      <c r="R411" s="5" t="n">
        <v>0.4583333333333333</v>
      </c>
      <c r="S411" s="5" t="n">
        <v>0.71875</v>
      </c>
      <c r="T411" s="5" t="n">
        <v>0.59375</v>
      </c>
      <c r="U411" s="5" t="n">
        <v>0.6354166666666666</v>
      </c>
      <c r="V411" s="3">
        <f>IF(COUNT(T411:U411)=2,ROUND((U411-T411)*1440,0),0)</f>
        <v/>
      </c>
    </row>
    <row r="412">
      <c r="A412" s="2" t="inlineStr">
        <is>
          <t>27777776-2</t>
        </is>
      </c>
      <c r="B412" s="3" t="inlineStr">
        <is>
          <t>Activo</t>
        </is>
      </c>
      <c r="C412" s="3" t="inlineStr">
        <is>
          <t>PABLO HERRERA (EJEMPLO)</t>
        </is>
      </c>
      <c r="D412" s="3" t="inlineStr">
        <is>
          <t>IMAGENES</t>
        </is>
      </c>
      <c r="E412" s="4" t="n">
        <v>46302</v>
      </c>
      <c r="F412" s="3" t="inlineStr">
        <is>
          <t>Miércoles</t>
        </is>
      </c>
      <c r="G412" s="4" t="n">
        <v>46300</v>
      </c>
      <c r="H412" s="3" t="inlineStr">
        <is>
          <t>Intermedio S/sábado</t>
        </is>
      </c>
      <c r="I412" s="3" t="inlineStr">
        <is>
          <t>TRABAJA</t>
        </is>
      </c>
      <c r="J412" s="5" t="n">
        <v>0.375</v>
      </c>
      <c r="K412" s="5" t="n">
        <v>0.75</v>
      </c>
      <c r="L412" s="5">
        <f>IF(COUNT(J412:K412)=2,K412-J412,0)</f>
        <v/>
      </c>
      <c r="M412" s="6">
        <f>L412*24</f>
        <v/>
      </c>
      <c r="N412" s="3" t="n">
        <v>60</v>
      </c>
      <c r="O412" s="6">
        <f>N412/60</f>
        <v/>
      </c>
      <c r="P412" s="6">
        <f>M412-O412</f>
        <v/>
      </c>
      <c r="Q412" s="6">
        <f>SUMIFS($P:$P,$A:$A,A412,$G:$G,G412)</f>
        <v/>
      </c>
      <c r="R412" s="5" t="n">
        <v>0.4583333333333333</v>
      </c>
      <c r="S412" s="5" t="n">
        <v>0.6354166666666666</v>
      </c>
      <c r="T412" s="5" t="n">
        <v>0.5104166666666666</v>
      </c>
      <c r="U412" s="5" t="n">
        <v>0.5520833333333334</v>
      </c>
      <c r="V412" s="3">
        <f>IF(COUNT(T412:U412)=2,ROUND((U412-T412)*1440,0),0)</f>
        <v/>
      </c>
    </row>
    <row r="413">
      <c r="A413" s="2" t="inlineStr">
        <is>
          <t>27777776-2</t>
        </is>
      </c>
      <c r="B413" s="3" t="inlineStr">
        <is>
          <t>Activo</t>
        </is>
      </c>
      <c r="C413" s="3" t="inlineStr">
        <is>
          <t>PABLO HERRERA (EJEMPLO)</t>
        </is>
      </c>
      <c r="D413" s="3" t="inlineStr">
        <is>
          <t>IMAGENES</t>
        </is>
      </c>
      <c r="E413" s="4" t="n">
        <v>46303</v>
      </c>
      <c r="F413" s="3" t="inlineStr">
        <is>
          <t>Jueves</t>
        </is>
      </c>
      <c r="G413" s="4" t="n">
        <v>46300</v>
      </c>
      <c r="H413" s="3" t="inlineStr">
        <is>
          <t>Intermedio S/sábado</t>
        </is>
      </c>
      <c r="I413" s="3" t="inlineStr">
        <is>
          <t>TRABAJA</t>
        </is>
      </c>
      <c r="J413" s="5" t="n">
        <v>0.375</v>
      </c>
      <c r="K413" s="5" t="n">
        <v>0.75</v>
      </c>
      <c r="L413" s="5">
        <f>IF(COUNT(J413:K413)=2,K413-J413,0)</f>
        <v/>
      </c>
      <c r="M413" s="6">
        <f>L413*24</f>
        <v/>
      </c>
      <c r="N413" s="3" t="n">
        <v>60</v>
      </c>
      <c r="O413" s="6">
        <f>N413/60</f>
        <v/>
      </c>
      <c r="P413" s="6">
        <f>M413-O413</f>
        <v/>
      </c>
      <c r="Q413" s="6">
        <f>SUMIFS($P:$P,$A:$A,A413,$G:$G,G413)</f>
        <v/>
      </c>
      <c r="R413" s="5" t="n">
        <v>0.46875</v>
      </c>
      <c r="S413" s="5" t="n">
        <v>0.6458333333333334</v>
      </c>
      <c r="T413" s="5" t="n">
        <v>0.5208333333333334</v>
      </c>
      <c r="U413" s="5" t="n">
        <v>0.5625</v>
      </c>
      <c r="V413" s="3">
        <f>IF(COUNT(T413:U413)=2,ROUND((U413-T413)*1440,0),0)</f>
        <v/>
      </c>
    </row>
    <row r="414">
      <c r="A414" s="2" t="inlineStr">
        <is>
          <t>27777776-2</t>
        </is>
      </c>
      <c r="B414" s="3" t="inlineStr">
        <is>
          <t>Activo</t>
        </is>
      </c>
      <c r="C414" s="3" t="inlineStr">
        <is>
          <t>PABLO HERRERA (EJEMPLO)</t>
        </is>
      </c>
      <c r="D414" s="3" t="inlineStr">
        <is>
          <t>IMAGENES</t>
        </is>
      </c>
      <c r="E414" s="4" t="n">
        <v>46304</v>
      </c>
      <c r="F414" s="3" t="inlineStr">
        <is>
          <t>Viernes</t>
        </is>
      </c>
      <c r="G414" s="4" t="n">
        <v>46300</v>
      </c>
      <c r="H414" s="3" t="inlineStr">
        <is>
          <t>Intermedio S/sábado</t>
        </is>
      </c>
      <c r="I414" s="3" t="inlineStr">
        <is>
          <t>TRABAJA</t>
        </is>
      </c>
      <c r="J414" s="5" t="n">
        <v>0.375</v>
      </c>
      <c r="K414" s="5" t="n">
        <v>0.75</v>
      </c>
      <c r="L414" s="5">
        <f>IF(COUNT(J414:K414)=2,K414-J414,0)</f>
        <v/>
      </c>
      <c r="M414" s="6">
        <f>L414*24</f>
        <v/>
      </c>
      <c r="N414" s="3" t="n">
        <v>60</v>
      </c>
      <c r="O414" s="6">
        <f>N414/60</f>
        <v/>
      </c>
      <c r="P414" s="6">
        <f>M414-O414</f>
        <v/>
      </c>
      <c r="Q414" s="6">
        <f>SUMIFS($P:$P,$A:$A,A414,$G:$G,G414)</f>
        <v/>
      </c>
      <c r="R414" s="5" t="n">
        <v>0.4791666666666667</v>
      </c>
      <c r="S414" s="5" t="n">
        <v>0.71875</v>
      </c>
      <c r="T414" s="5" t="n">
        <v>0.59375</v>
      </c>
      <c r="U414" s="5" t="n">
        <v>0.6354166666666666</v>
      </c>
      <c r="V414" s="3">
        <f>IF(COUNT(T414:U414)=2,ROUND((U414-T414)*1440,0),0)</f>
        <v/>
      </c>
    </row>
    <row r="415">
      <c r="A415" s="2" t="inlineStr">
        <is>
          <t>27777776-2</t>
        </is>
      </c>
      <c r="B415" s="3" t="inlineStr">
        <is>
          <t>Activo</t>
        </is>
      </c>
      <c r="C415" s="3" t="inlineStr">
        <is>
          <t>PABLO HERRERA (EJEMPLO)</t>
        </is>
      </c>
      <c r="D415" s="3" t="inlineStr">
        <is>
          <t>IMAGENES</t>
        </is>
      </c>
      <c r="E415" s="4" t="n">
        <v>46305</v>
      </c>
      <c r="F415" s="3" t="inlineStr">
        <is>
          <t>Sábado</t>
        </is>
      </c>
      <c r="G415" s="4" t="n">
        <v>46300</v>
      </c>
      <c r="H415" s="3" t="inlineStr">
        <is>
          <t>Intermedio S/sábado</t>
        </is>
      </c>
      <c r="I415" s="3" t="inlineStr">
        <is>
          <t>LIBRE</t>
        </is>
      </c>
      <c r="J415" s="5" t="n"/>
      <c r="K415" s="5" t="n"/>
      <c r="L415" s="5">
        <f>IF(COUNT(J415:K415)=2,K415-J415,0)</f>
        <v/>
      </c>
      <c r="M415" s="6">
        <f>L415*24</f>
        <v/>
      </c>
      <c r="N415" s="3" t="n">
        <v>0</v>
      </c>
      <c r="O415" s="6">
        <f>N415/60</f>
        <v/>
      </c>
      <c r="P415" s="6">
        <f>M415-O415</f>
        <v/>
      </c>
      <c r="Q415" s="6">
        <f>SUMIFS($P:$P,$A:$A,A415,$G:$G,G415)</f>
        <v/>
      </c>
      <c r="R415" s="5" t="n"/>
      <c r="S415" s="5" t="n"/>
      <c r="T415" s="5" t="n"/>
      <c r="U415" s="5" t="n"/>
      <c r="V415" s="3">
        <f>IF(COUNT(T415:U415)=2,ROUND((U415-T415)*1440,0),0)</f>
        <v/>
      </c>
    </row>
    <row r="416">
      <c r="A416" s="2" t="inlineStr">
        <is>
          <t>27777776-2</t>
        </is>
      </c>
      <c r="B416" s="3" t="inlineStr">
        <is>
          <t>Activo</t>
        </is>
      </c>
      <c r="C416" s="3" t="inlineStr">
        <is>
          <t>PABLO HERRERA (EJEMPLO)</t>
        </is>
      </c>
      <c r="D416" s="3" t="inlineStr">
        <is>
          <t>IMAGENES</t>
        </is>
      </c>
      <c r="E416" s="4" t="n">
        <v>46307</v>
      </c>
      <c r="F416" s="3" t="inlineStr">
        <is>
          <t>Lunes</t>
        </is>
      </c>
      <c r="G416" s="4" t="n">
        <v>46307</v>
      </c>
      <c r="H416" s="3" t="inlineStr">
        <is>
          <t>Intermedio S/sábado</t>
        </is>
      </c>
      <c r="I416" s="3" t="inlineStr">
        <is>
          <t>FERIADO</t>
        </is>
      </c>
      <c r="J416" s="5" t="n"/>
      <c r="K416" s="5" t="n"/>
      <c r="L416" s="5">
        <f>IF(COUNT(J416:K416)=2,K416-J416,0)</f>
        <v/>
      </c>
      <c r="M416" s="6">
        <f>L416*24</f>
        <v/>
      </c>
      <c r="N416" s="3" t="n">
        <v>0</v>
      </c>
      <c r="O416" s="6">
        <f>N416/60</f>
        <v/>
      </c>
      <c r="P416" s="6">
        <f>M416-O416</f>
        <v/>
      </c>
      <c r="Q416" s="6">
        <f>SUMIFS($P:$P,$A:$A,A416,$G:$G,G416)</f>
        <v/>
      </c>
      <c r="R416" s="5" t="n"/>
      <c r="S416" s="5" t="n"/>
      <c r="T416" s="5" t="n"/>
      <c r="U416" s="5" t="n"/>
      <c r="V416" s="3">
        <f>IF(COUNT(T416:U416)=2,ROUND((U416-T416)*1440,0),0)</f>
        <v/>
      </c>
    </row>
    <row r="417">
      <c r="A417" s="2" t="inlineStr">
        <is>
          <t>27777776-2</t>
        </is>
      </c>
      <c r="B417" s="3" t="inlineStr">
        <is>
          <t>Activo</t>
        </is>
      </c>
      <c r="C417" s="3" t="inlineStr">
        <is>
          <t>PABLO HERRERA (EJEMPLO)</t>
        </is>
      </c>
      <c r="D417" s="3" t="inlineStr">
        <is>
          <t>IMAGENES</t>
        </is>
      </c>
      <c r="E417" s="4" t="n">
        <v>46308</v>
      </c>
      <c r="F417" s="3" t="inlineStr">
        <is>
          <t>Martes</t>
        </is>
      </c>
      <c r="G417" s="4" t="n">
        <v>46307</v>
      </c>
      <c r="H417" s="3" t="inlineStr">
        <is>
          <t>Intermedio S/sábado</t>
        </is>
      </c>
      <c r="I417" s="3" t="inlineStr">
        <is>
          <t>TRABAJA</t>
        </is>
      </c>
      <c r="J417" s="5" t="n">
        <v>0.375</v>
      </c>
      <c r="K417" s="5" t="n">
        <v>0.7916666666666666</v>
      </c>
      <c r="L417" s="5">
        <f>IF(COUNT(J417:K417)=2,K417-J417,0)</f>
        <v/>
      </c>
      <c r="M417" s="6">
        <f>L417*24</f>
        <v/>
      </c>
      <c r="N417" s="3" t="n">
        <v>60</v>
      </c>
      <c r="O417" s="6">
        <f>N417/60</f>
        <v/>
      </c>
      <c r="P417" s="6">
        <f>M417-O417</f>
        <v/>
      </c>
      <c r="Q417" s="6">
        <f>SUMIFS($P:$P,$A:$A,A417,$G:$G,G417)</f>
        <v/>
      </c>
      <c r="R417" s="5" t="n">
        <v>0.4583333333333333</v>
      </c>
      <c r="S417" s="5" t="n">
        <v>0.71875</v>
      </c>
      <c r="T417" s="5" t="n">
        <v>0.59375</v>
      </c>
      <c r="U417" s="5" t="n">
        <v>0.6354166666666666</v>
      </c>
      <c r="V417" s="3">
        <f>IF(COUNT(T417:U417)=2,ROUND((U417-T417)*1440,0),0)</f>
        <v/>
      </c>
    </row>
    <row r="418">
      <c r="A418" s="2" t="inlineStr">
        <is>
          <t>27777776-2</t>
        </is>
      </c>
      <c r="B418" s="3" t="inlineStr">
        <is>
          <t>Activo</t>
        </is>
      </c>
      <c r="C418" s="3" t="inlineStr">
        <is>
          <t>PABLO HERRERA (EJEMPLO)</t>
        </is>
      </c>
      <c r="D418" s="3" t="inlineStr">
        <is>
          <t>IMAGENES</t>
        </is>
      </c>
      <c r="E418" s="4" t="n">
        <v>46309</v>
      </c>
      <c r="F418" s="3" t="inlineStr">
        <is>
          <t>Miércoles</t>
        </is>
      </c>
      <c r="G418" s="4" t="n">
        <v>46307</v>
      </c>
      <c r="H418" s="3" t="inlineStr">
        <is>
          <t>Intermedio S/sábado</t>
        </is>
      </c>
      <c r="I418" s="3" t="inlineStr">
        <is>
          <t>TRABAJA</t>
        </is>
      </c>
      <c r="J418" s="5" t="n">
        <v>0.375</v>
      </c>
      <c r="K418" s="5" t="n">
        <v>0.75</v>
      </c>
      <c r="L418" s="5">
        <f>IF(COUNT(J418:K418)=2,K418-J418,0)</f>
        <v/>
      </c>
      <c r="M418" s="6">
        <f>L418*24</f>
        <v/>
      </c>
      <c r="N418" s="3" t="n">
        <v>60</v>
      </c>
      <c r="O418" s="6">
        <f>N418/60</f>
        <v/>
      </c>
      <c r="P418" s="6">
        <f>M418-O418</f>
        <v/>
      </c>
      <c r="Q418" s="6">
        <f>SUMIFS($P:$P,$A:$A,A418,$G:$G,G418)</f>
        <v/>
      </c>
      <c r="R418" s="5" t="n">
        <v>0.4583333333333333</v>
      </c>
      <c r="S418" s="5" t="n">
        <v>0.6354166666666666</v>
      </c>
      <c r="T418" s="5" t="n">
        <v>0.5104166666666666</v>
      </c>
      <c r="U418" s="5" t="n">
        <v>0.5520833333333334</v>
      </c>
      <c r="V418" s="3">
        <f>IF(COUNT(T418:U418)=2,ROUND((U418-T418)*1440,0),0)</f>
        <v/>
      </c>
    </row>
    <row r="419">
      <c r="A419" s="2" t="inlineStr">
        <is>
          <t>27777776-2</t>
        </is>
      </c>
      <c r="B419" s="3" t="inlineStr">
        <is>
          <t>Activo</t>
        </is>
      </c>
      <c r="C419" s="3" t="inlineStr">
        <is>
          <t>PABLO HERRERA (EJEMPLO)</t>
        </is>
      </c>
      <c r="D419" s="3" t="inlineStr">
        <is>
          <t>IMAGENES</t>
        </is>
      </c>
      <c r="E419" s="4" t="n">
        <v>46310</v>
      </c>
      <c r="F419" s="3" t="inlineStr">
        <is>
          <t>Jueves</t>
        </is>
      </c>
      <c r="G419" s="4" t="n">
        <v>46307</v>
      </c>
      <c r="H419" s="3" t="inlineStr">
        <is>
          <t>Intermedio S/sábado</t>
        </is>
      </c>
      <c r="I419" s="3" t="inlineStr">
        <is>
          <t>TRABAJA</t>
        </is>
      </c>
      <c r="J419" s="5" t="n">
        <v>0.375</v>
      </c>
      <c r="K419" s="5" t="n">
        <v>0.75</v>
      </c>
      <c r="L419" s="5">
        <f>IF(COUNT(J419:K419)=2,K419-J419,0)</f>
        <v/>
      </c>
      <c r="M419" s="6">
        <f>L419*24</f>
        <v/>
      </c>
      <c r="N419" s="3" t="n">
        <v>60</v>
      </c>
      <c r="O419" s="6">
        <f>N419/60</f>
        <v/>
      </c>
      <c r="P419" s="6">
        <f>M419-O419</f>
        <v/>
      </c>
      <c r="Q419" s="6">
        <f>SUMIFS($P:$P,$A:$A,A419,$G:$G,G419)</f>
        <v/>
      </c>
      <c r="R419" s="5" t="n">
        <v>0.46875</v>
      </c>
      <c r="S419" s="5" t="n">
        <v>0.6458333333333334</v>
      </c>
      <c r="T419" s="5" t="n">
        <v>0.5208333333333334</v>
      </c>
      <c r="U419" s="5" t="n">
        <v>0.5625</v>
      </c>
      <c r="V419" s="3">
        <f>IF(COUNT(T419:U419)=2,ROUND((U419-T419)*1440,0),0)</f>
        <v/>
      </c>
    </row>
    <row r="420">
      <c r="A420" s="2" t="inlineStr">
        <is>
          <t>27777776-2</t>
        </is>
      </c>
      <c r="B420" s="3" t="inlineStr">
        <is>
          <t>Activo</t>
        </is>
      </c>
      <c r="C420" s="3" t="inlineStr">
        <is>
          <t>PABLO HERRERA (EJEMPLO)</t>
        </is>
      </c>
      <c r="D420" s="3" t="inlineStr">
        <is>
          <t>IMAGENES</t>
        </is>
      </c>
      <c r="E420" s="4" t="n">
        <v>46311</v>
      </c>
      <c r="F420" s="3" t="inlineStr">
        <is>
          <t>Viernes</t>
        </is>
      </c>
      <c r="G420" s="4" t="n">
        <v>46307</v>
      </c>
      <c r="H420" s="3" t="inlineStr">
        <is>
          <t>Intermedio S/sábado</t>
        </is>
      </c>
      <c r="I420" s="3" t="inlineStr">
        <is>
          <t>TRABAJA</t>
        </is>
      </c>
      <c r="J420" s="5" t="n">
        <v>0.375</v>
      </c>
      <c r="K420" s="5" t="n">
        <v>0.75</v>
      </c>
      <c r="L420" s="5">
        <f>IF(COUNT(J420:K420)=2,K420-J420,0)</f>
        <v/>
      </c>
      <c r="M420" s="6">
        <f>L420*24</f>
        <v/>
      </c>
      <c r="N420" s="3" t="n">
        <v>60</v>
      </c>
      <c r="O420" s="6">
        <f>N420/60</f>
        <v/>
      </c>
      <c r="P420" s="6">
        <f>M420-O420</f>
        <v/>
      </c>
      <c r="Q420" s="6">
        <f>SUMIFS($P:$P,$A:$A,A420,$G:$G,G420)</f>
        <v/>
      </c>
      <c r="R420" s="5" t="n">
        <v>0.4791666666666667</v>
      </c>
      <c r="S420" s="5" t="n">
        <v>0.71875</v>
      </c>
      <c r="T420" s="5" t="n">
        <v>0.59375</v>
      </c>
      <c r="U420" s="5" t="n">
        <v>0.6354166666666666</v>
      </c>
      <c r="V420" s="3">
        <f>IF(COUNT(T420:U420)=2,ROUND((U420-T420)*1440,0),0)</f>
        <v/>
      </c>
    </row>
    <row r="421">
      <c r="A421" s="2" t="inlineStr">
        <is>
          <t>27777776-2</t>
        </is>
      </c>
      <c r="B421" s="3" t="inlineStr">
        <is>
          <t>Activo</t>
        </is>
      </c>
      <c r="C421" s="3" t="inlineStr">
        <is>
          <t>PABLO HERRERA (EJEMPLO)</t>
        </is>
      </c>
      <c r="D421" s="3" t="inlineStr">
        <is>
          <t>IMAGENES</t>
        </is>
      </c>
      <c r="E421" s="4" t="n">
        <v>46312</v>
      </c>
      <c r="F421" s="3" t="inlineStr">
        <is>
          <t>Sábado</t>
        </is>
      </c>
      <c r="G421" s="4" t="n">
        <v>46307</v>
      </c>
      <c r="H421" s="3" t="inlineStr">
        <is>
          <t>Intermedio S/sábado</t>
        </is>
      </c>
      <c r="I421" s="3" t="inlineStr">
        <is>
          <t>LIBRE</t>
        </is>
      </c>
      <c r="J421" s="5" t="n"/>
      <c r="K421" s="5" t="n"/>
      <c r="L421" s="5">
        <f>IF(COUNT(J421:K421)=2,K421-J421,0)</f>
        <v/>
      </c>
      <c r="M421" s="6">
        <f>L421*24</f>
        <v/>
      </c>
      <c r="N421" s="3" t="n">
        <v>0</v>
      </c>
      <c r="O421" s="6">
        <f>N421/60</f>
        <v/>
      </c>
      <c r="P421" s="6">
        <f>M421-O421</f>
        <v/>
      </c>
      <c r="Q421" s="6">
        <f>SUMIFS($P:$P,$A:$A,A421,$G:$G,G421)</f>
        <v/>
      </c>
      <c r="R421" s="5" t="n"/>
      <c r="S421" s="5" t="n"/>
      <c r="T421" s="5" t="n"/>
      <c r="U421" s="5" t="n"/>
      <c r="V421" s="3">
        <f>IF(COUNT(T421:U421)=2,ROUND((U421-T421)*1440,0),0)</f>
        <v/>
      </c>
    </row>
    <row r="422">
      <c r="A422" s="2" t="inlineStr">
        <is>
          <t>27777776-2</t>
        </is>
      </c>
      <c r="B422" s="3" t="inlineStr">
        <is>
          <t>Activo</t>
        </is>
      </c>
      <c r="C422" s="3" t="inlineStr">
        <is>
          <t>PABLO HERRERA (EJEMPLO)</t>
        </is>
      </c>
      <c r="D422" s="3" t="inlineStr">
        <is>
          <t>IMAGENES</t>
        </is>
      </c>
      <c r="E422" s="4" t="n">
        <v>46314</v>
      </c>
      <c r="F422" s="3" t="inlineStr">
        <is>
          <t>Lunes</t>
        </is>
      </c>
      <c r="G422" s="4" t="n">
        <v>46314</v>
      </c>
      <c r="H422" s="3" t="inlineStr">
        <is>
          <t>Mañana C/sábado</t>
        </is>
      </c>
      <c r="I422" s="3" t="inlineStr">
        <is>
          <t>TRABAJA</t>
        </is>
      </c>
      <c r="J422" s="5" t="n">
        <v>0.3333333333333333</v>
      </c>
      <c r="K422" s="5" t="n">
        <v>0.6875</v>
      </c>
      <c r="L422" s="5">
        <f>IF(COUNT(J422:K422)=2,K422-J422,0)</f>
        <v/>
      </c>
      <c r="M422" s="6">
        <f>L422*24</f>
        <v/>
      </c>
      <c r="N422" s="3" t="n">
        <v>60</v>
      </c>
      <c r="O422" s="6">
        <f>N422/60</f>
        <v/>
      </c>
      <c r="P422" s="6">
        <f>M422-O422</f>
        <v/>
      </c>
      <c r="Q422" s="6">
        <f>SUMIFS($P:$P,$A:$A,A422,$G:$G,G422)</f>
        <v/>
      </c>
      <c r="R422" s="5" t="n">
        <v>0.4479166666666667</v>
      </c>
      <c r="S422" s="5" t="n">
        <v>0.625</v>
      </c>
      <c r="T422" s="5" t="n">
        <v>0.5</v>
      </c>
      <c r="U422" s="5" t="n">
        <v>0.5416666666666666</v>
      </c>
      <c r="V422" s="3">
        <f>IF(COUNT(T422:U422)=2,ROUND((U422-T422)*1440,0),0)</f>
        <v/>
      </c>
    </row>
    <row r="423">
      <c r="A423" s="2" t="inlineStr">
        <is>
          <t>27777776-2</t>
        </is>
      </c>
      <c r="B423" s="3" t="inlineStr">
        <is>
          <t>Activo</t>
        </is>
      </c>
      <c r="C423" s="3" t="inlineStr">
        <is>
          <t>PABLO HERRERA (EJEMPLO)</t>
        </is>
      </c>
      <c r="D423" s="3" t="inlineStr">
        <is>
          <t>IMAGENES</t>
        </is>
      </c>
      <c r="E423" s="4" t="n">
        <v>46315</v>
      </c>
      <c r="F423" s="3" t="inlineStr">
        <is>
          <t>Martes</t>
        </is>
      </c>
      <c r="G423" s="4" t="n">
        <v>46314</v>
      </c>
      <c r="H423" s="3" t="inlineStr">
        <is>
          <t>Mañana C/sábado</t>
        </is>
      </c>
      <c r="I423" s="3" t="inlineStr">
        <is>
          <t>TRABAJA</t>
        </is>
      </c>
      <c r="J423" s="5" t="n">
        <v>0.3333333333333333</v>
      </c>
      <c r="K423" s="5" t="n">
        <v>0.6875</v>
      </c>
      <c r="L423" s="5">
        <f>IF(COUNT(J423:K423)=2,K423-J423,0)</f>
        <v/>
      </c>
      <c r="M423" s="6">
        <f>L423*24</f>
        <v/>
      </c>
      <c r="N423" s="3" t="n">
        <v>60</v>
      </c>
      <c r="O423" s="6">
        <f>N423/60</f>
        <v/>
      </c>
      <c r="P423" s="6">
        <f>M423-O423</f>
        <v/>
      </c>
      <c r="Q423" s="6">
        <f>SUMIFS($P:$P,$A:$A,A423,$G:$G,G423)</f>
        <v/>
      </c>
      <c r="R423" s="5" t="n">
        <v>0.4479166666666667</v>
      </c>
      <c r="S423" s="5" t="n">
        <v>0.625</v>
      </c>
      <c r="T423" s="5" t="n">
        <v>0.5</v>
      </c>
      <c r="U423" s="5" t="n">
        <v>0.5416666666666666</v>
      </c>
      <c r="V423" s="3">
        <f>IF(COUNT(T423:U423)=2,ROUND((U423-T423)*1440,0),0)</f>
        <v/>
      </c>
    </row>
    <row r="424">
      <c r="A424" s="2" t="inlineStr">
        <is>
          <t>27777776-2</t>
        </is>
      </c>
      <c r="B424" s="3" t="inlineStr">
        <is>
          <t>Activo</t>
        </is>
      </c>
      <c r="C424" s="3" t="inlineStr">
        <is>
          <t>PABLO HERRERA (EJEMPLO)</t>
        </is>
      </c>
      <c r="D424" s="3" t="inlineStr">
        <is>
          <t>IMAGENES</t>
        </is>
      </c>
      <c r="E424" s="4" t="n">
        <v>46316</v>
      </c>
      <c r="F424" s="3" t="inlineStr">
        <is>
          <t>Miércoles</t>
        </is>
      </c>
      <c r="G424" s="4" t="n">
        <v>46314</v>
      </c>
      <c r="H424" s="3" t="inlineStr">
        <is>
          <t>Mañana C/sábado</t>
        </is>
      </c>
      <c r="I424" s="3" t="inlineStr">
        <is>
          <t>TRABAJA</t>
        </is>
      </c>
      <c r="J424" s="5" t="n">
        <v>0.3333333333333333</v>
      </c>
      <c r="K424" s="5" t="n">
        <v>0.6875</v>
      </c>
      <c r="L424" s="5">
        <f>IF(COUNT(J424:K424)=2,K424-J424,0)</f>
        <v/>
      </c>
      <c r="M424" s="6">
        <f>L424*24</f>
        <v/>
      </c>
      <c r="N424" s="3" t="n">
        <v>60</v>
      </c>
      <c r="O424" s="6">
        <f>N424/60</f>
        <v/>
      </c>
      <c r="P424" s="6">
        <f>M424-O424</f>
        <v/>
      </c>
      <c r="Q424" s="6">
        <f>SUMIFS($P:$P,$A:$A,A424,$G:$G,G424)</f>
        <v/>
      </c>
      <c r="R424" s="5" t="n">
        <v>0.4270833333333333</v>
      </c>
      <c r="S424" s="5" t="n">
        <v>0.6458333333333334</v>
      </c>
      <c r="T424" s="5" t="n">
        <v>0.4895833333333333</v>
      </c>
      <c r="U424" s="5" t="n">
        <v>0.53125</v>
      </c>
      <c r="V424" s="3">
        <f>IF(COUNT(T424:U424)=2,ROUND((U424-T424)*1440,0),0)</f>
        <v/>
      </c>
    </row>
    <row r="425">
      <c r="A425" s="2" t="inlineStr">
        <is>
          <t>27777776-2</t>
        </is>
      </c>
      <c r="B425" s="3" t="inlineStr">
        <is>
          <t>Activo</t>
        </is>
      </c>
      <c r="C425" s="3" t="inlineStr">
        <is>
          <t>PABLO HERRERA (EJEMPLO)</t>
        </is>
      </c>
      <c r="D425" s="3" t="inlineStr">
        <is>
          <t>IMAGENES</t>
        </is>
      </c>
      <c r="E425" s="4" t="n">
        <v>46317</v>
      </c>
      <c r="F425" s="3" t="inlineStr">
        <is>
          <t>Jueves</t>
        </is>
      </c>
      <c r="G425" s="4" t="n">
        <v>46314</v>
      </c>
      <c r="H425" s="3" t="inlineStr">
        <is>
          <t>Mañana C/sábado</t>
        </is>
      </c>
      <c r="I425" s="3" t="inlineStr">
        <is>
          <t>TRABAJA</t>
        </is>
      </c>
      <c r="J425" s="5" t="n">
        <v>0.3333333333333333</v>
      </c>
      <c r="K425" s="5" t="n">
        <v>0.6666666666666666</v>
      </c>
      <c r="L425" s="5">
        <f>IF(COUNT(J425:K425)=2,K425-J425,0)</f>
        <v/>
      </c>
      <c r="M425" s="6">
        <f>L425*24</f>
        <v/>
      </c>
      <c r="N425" s="3" t="n">
        <v>60</v>
      </c>
      <c r="O425" s="6">
        <f>N425/60</f>
        <v/>
      </c>
      <c r="P425" s="6">
        <f>M425-O425</f>
        <v/>
      </c>
      <c r="Q425" s="6">
        <f>SUMIFS($P:$P,$A:$A,A425,$G:$G,G425)</f>
        <v/>
      </c>
      <c r="R425" s="5" t="n">
        <v>0.4479166666666667</v>
      </c>
      <c r="S425" s="5" t="n">
        <v>0.6354166666666666</v>
      </c>
      <c r="T425" s="5" t="n">
        <v>0.5104166666666666</v>
      </c>
      <c r="U425" s="5" t="n">
        <v>0.5520833333333334</v>
      </c>
      <c r="V425" s="3">
        <f>IF(COUNT(T425:U425)=2,ROUND((U425-T425)*1440,0),0)</f>
        <v/>
      </c>
    </row>
    <row r="426">
      <c r="A426" s="2" t="inlineStr">
        <is>
          <t>27777776-2</t>
        </is>
      </c>
      <c r="B426" s="3" t="inlineStr">
        <is>
          <t>Activo</t>
        </is>
      </c>
      <c r="C426" s="3" t="inlineStr">
        <is>
          <t>PABLO HERRERA (EJEMPLO)</t>
        </is>
      </c>
      <c r="D426" s="3" t="inlineStr">
        <is>
          <t>IMAGENES</t>
        </is>
      </c>
      <c r="E426" s="4" t="n">
        <v>46318</v>
      </c>
      <c r="F426" s="3" t="inlineStr">
        <is>
          <t>Viernes</t>
        </is>
      </c>
      <c r="G426" s="4" t="n">
        <v>46314</v>
      </c>
      <c r="H426" s="3" t="inlineStr">
        <is>
          <t>Mañana C/sábado</t>
        </is>
      </c>
      <c r="I426" s="3" t="inlineStr">
        <is>
          <t>TRABAJA</t>
        </is>
      </c>
      <c r="J426" s="5" t="n">
        <v>0.3333333333333333</v>
      </c>
      <c r="K426" s="5" t="n">
        <v>0.6666666666666666</v>
      </c>
      <c r="L426" s="5">
        <f>IF(COUNT(J426:K426)=2,K426-J426,0)</f>
        <v/>
      </c>
      <c r="M426" s="6">
        <f>L426*24</f>
        <v/>
      </c>
      <c r="N426" s="3" t="n">
        <v>60</v>
      </c>
      <c r="O426" s="6">
        <f>N426/60</f>
        <v/>
      </c>
      <c r="P426" s="6">
        <f>M426-O426</f>
        <v/>
      </c>
      <c r="Q426" s="6">
        <f>SUMIFS($P:$P,$A:$A,A426,$G:$G,G426)</f>
        <v/>
      </c>
      <c r="R426" s="5" t="n">
        <v>0.4479166666666667</v>
      </c>
      <c r="S426" s="5" t="n">
        <v>0.6354166666666666</v>
      </c>
      <c r="T426" s="5" t="n">
        <v>0.5104166666666666</v>
      </c>
      <c r="U426" s="5" t="n">
        <v>0.5520833333333334</v>
      </c>
      <c r="V426" s="3">
        <f>IF(COUNT(T426:U426)=2,ROUND((U426-T426)*1440,0),0)</f>
        <v/>
      </c>
    </row>
    <row r="427">
      <c r="A427" s="2" t="inlineStr">
        <is>
          <t>27777776-2</t>
        </is>
      </c>
      <c r="B427" s="3" t="inlineStr">
        <is>
          <t>Activo</t>
        </is>
      </c>
      <c r="C427" s="3" t="inlineStr">
        <is>
          <t>PABLO HERRERA (EJEMPLO)</t>
        </is>
      </c>
      <c r="D427" s="3" t="inlineStr">
        <is>
          <t>IMAGENES</t>
        </is>
      </c>
      <c r="E427" s="4" t="n">
        <v>46319</v>
      </c>
      <c r="F427" s="3" t="inlineStr">
        <is>
          <t>Sábado</t>
        </is>
      </c>
      <c r="G427" s="4" t="n">
        <v>46314</v>
      </c>
      <c r="H427" s="3" t="inlineStr">
        <is>
          <t>Mañana C/sábado</t>
        </is>
      </c>
      <c r="I427" s="3" t="inlineStr">
        <is>
          <t>TRABAJA</t>
        </is>
      </c>
      <c r="J427" s="5" t="n">
        <v>0.3333333333333333</v>
      </c>
      <c r="K427" s="5" t="n">
        <v>0.5833333333333334</v>
      </c>
      <c r="L427" s="5">
        <f>IF(COUNT(J427:K427)=2,K427-J427,0)</f>
        <v/>
      </c>
      <c r="M427" s="6">
        <f>L427*24</f>
        <v/>
      </c>
      <c r="N427" s="3" t="n">
        <v>30</v>
      </c>
      <c r="O427" s="6">
        <f>N427/60</f>
        <v/>
      </c>
      <c r="P427" s="6">
        <f>M427-O427</f>
        <v/>
      </c>
      <c r="Q427" s="6">
        <f>SUMIFS($P:$P,$A:$A,A427,$G:$G,G427)</f>
        <v/>
      </c>
      <c r="R427" s="5" t="n"/>
      <c r="S427" s="5" t="n"/>
      <c r="T427" s="5" t="n">
        <v>0.4583333333333333</v>
      </c>
      <c r="U427" s="5" t="n">
        <v>0.4791666666666667</v>
      </c>
      <c r="V427" s="3">
        <f>IF(COUNT(T427:U427)=2,ROUND((U427-T427)*1440,0),0)</f>
        <v/>
      </c>
    </row>
    <row r="428">
      <c r="A428" s="2" t="inlineStr">
        <is>
          <t>27777776-2</t>
        </is>
      </c>
      <c r="B428" s="3" t="inlineStr">
        <is>
          <t>Activo</t>
        </is>
      </c>
      <c r="C428" s="3" t="inlineStr">
        <is>
          <t>PABLO HERRERA (EJEMPLO)</t>
        </is>
      </c>
      <c r="D428" s="3" t="inlineStr">
        <is>
          <t>IMAGENES</t>
        </is>
      </c>
      <c r="E428" s="4" t="n">
        <v>46321</v>
      </c>
      <c r="F428" s="3" t="inlineStr">
        <is>
          <t>Lunes</t>
        </is>
      </c>
      <c r="G428" s="4" t="n">
        <v>46321</v>
      </c>
      <c r="H428" s="3" t="inlineStr">
        <is>
          <t>Intermedio S/sábado</t>
        </is>
      </c>
      <c r="I428" s="3" t="inlineStr">
        <is>
          <t>TRABAJA</t>
        </is>
      </c>
      <c r="J428" s="5" t="n">
        <v>0.375</v>
      </c>
      <c r="K428" s="5" t="n">
        <v>0.7916666666666666</v>
      </c>
      <c r="L428" s="5">
        <f>IF(COUNT(J428:K428)=2,K428-J428,0)</f>
        <v/>
      </c>
      <c r="M428" s="6">
        <f>L428*24</f>
        <v/>
      </c>
      <c r="N428" s="3" t="n">
        <v>60</v>
      </c>
      <c r="O428" s="6">
        <f>N428/60</f>
        <v/>
      </c>
      <c r="P428" s="6">
        <f>M428-O428</f>
        <v/>
      </c>
      <c r="Q428" s="6">
        <f>SUMIFS($P:$P,$A:$A,A428,$G:$G,G428)</f>
        <v/>
      </c>
      <c r="R428" s="5" t="n">
        <v>0.4583333333333333</v>
      </c>
      <c r="S428" s="5" t="n">
        <v>0.71875</v>
      </c>
      <c r="T428" s="5" t="n">
        <v>0.5520833333333334</v>
      </c>
      <c r="U428" s="5" t="n">
        <v>0.59375</v>
      </c>
      <c r="V428" s="3">
        <f>IF(COUNT(T428:U428)=2,ROUND((U428-T428)*1440,0),0)</f>
        <v/>
      </c>
    </row>
    <row r="429">
      <c r="A429" s="2" t="inlineStr">
        <is>
          <t>27777776-2</t>
        </is>
      </c>
      <c r="B429" s="3" t="inlineStr">
        <is>
          <t>Activo</t>
        </is>
      </c>
      <c r="C429" s="3" t="inlineStr">
        <is>
          <t>PABLO HERRERA (EJEMPLO)</t>
        </is>
      </c>
      <c r="D429" s="3" t="inlineStr">
        <is>
          <t>IMAGENES</t>
        </is>
      </c>
      <c r="E429" s="4" t="n">
        <v>46322</v>
      </c>
      <c r="F429" s="3" t="inlineStr">
        <is>
          <t>Martes</t>
        </is>
      </c>
      <c r="G429" s="4" t="n">
        <v>46321</v>
      </c>
      <c r="H429" s="3" t="inlineStr">
        <is>
          <t>Intermedio S/sábado</t>
        </is>
      </c>
      <c r="I429" s="3" t="inlineStr">
        <is>
          <t>TRABAJA</t>
        </is>
      </c>
      <c r="J429" s="5" t="n">
        <v>0.375</v>
      </c>
      <c r="K429" s="5" t="n">
        <v>0.7916666666666666</v>
      </c>
      <c r="L429" s="5">
        <f>IF(COUNT(J429:K429)=2,K429-J429,0)</f>
        <v/>
      </c>
      <c r="M429" s="6">
        <f>L429*24</f>
        <v/>
      </c>
      <c r="N429" s="3" t="n">
        <v>60</v>
      </c>
      <c r="O429" s="6">
        <f>N429/60</f>
        <v/>
      </c>
      <c r="P429" s="6">
        <f>M429-O429</f>
        <v/>
      </c>
      <c r="Q429" s="6">
        <f>SUMIFS($P:$P,$A:$A,A429,$G:$G,G429)</f>
        <v/>
      </c>
      <c r="R429" s="5" t="n">
        <v>0.4583333333333333</v>
      </c>
      <c r="S429" s="5" t="n">
        <v>0.71875</v>
      </c>
      <c r="T429" s="5" t="n">
        <v>0.5520833333333334</v>
      </c>
      <c r="U429" s="5" t="n">
        <v>0.59375</v>
      </c>
      <c r="V429" s="3">
        <f>IF(COUNT(T429:U429)=2,ROUND((U429-T429)*1440,0),0)</f>
        <v/>
      </c>
    </row>
    <row r="430">
      <c r="A430" s="2" t="inlineStr">
        <is>
          <t>27777776-2</t>
        </is>
      </c>
      <c r="B430" s="3" t="inlineStr">
        <is>
          <t>Activo</t>
        </is>
      </c>
      <c r="C430" s="3" t="inlineStr">
        <is>
          <t>PABLO HERRERA (EJEMPLO)</t>
        </is>
      </c>
      <c r="D430" s="3" t="inlineStr">
        <is>
          <t>IMAGENES</t>
        </is>
      </c>
      <c r="E430" s="4" t="n">
        <v>46323</v>
      </c>
      <c r="F430" s="3" t="inlineStr">
        <is>
          <t>Miércoles</t>
        </is>
      </c>
      <c r="G430" s="4" t="n">
        <v>46321</v>
      </c>
      <c r="H430" s="3" t="inlineStr">
        <is>
          <t>Intermedio S/sábado</t>
        </is>
      </c>
      <c r="I430" s="3" t="inlineStr">
        <is>
          <t>TRABAJA</t>
        </is>
      </c>
      <c r="J430" s="5" t="n">
        <v>0.375</v>
      </c>
      <c r="K430" s="5" t="n">
        <v>0.75</v>
      </c>
      <c r="L430" s="5">
        <f>IF(COUNT(J430:K430)=2,K430-J430,0)</f>
        <v/>
      </c>
      <c r="M430" s="6">
        <f>L430*24</f>
        <v/>
      </c>
      <c r="N430" s="3" t="n">
        <v>60</v>
      </c>
      <c r="O430" s="6">
        <f>N430/60</f>
        <v/>
      </c>
      <c r="P430" s="6">
        <f>M430-O430</f>
        <v/>
      </c>
      <c r="Q430" s="6">
        <f>SUMIFS($P:$P,$A:$A,A430,$G:$G,G430)</f>
        <v/>
      </c>
      <c r="R430" s="5" t="n">
        <v>0.4583333333333333</v>
      </c>
      <c r="S430" s="5" t="n">
        <v>0.6458333333333334</v>
      </c>
      <c r="T430" s="5" t="n">
        <v>0.5104166666666666</v>
      </c>
      <c r="U430" s="5" t="n">
        <v>0.5520833333333334</v>
      </c>
      <c r="V430" s="3">
        <f>IF(COUNT(T430:U430)=2,ROUND((U430-T430)*1440,0),0)</f>
        <v/>
      </c>
    </row>
    <row r="431">
      <c r="A431" s="2" t="inlineStr">
        <is>
          <t>27777776-2</t>
        </is>
      </c>
      <c r="B431" s="3" t="inlineStr">
        <is>
          <t>Activo</t>
        </is>
      </c>
      <c r="C431" s="3" t="inlineStr">
        <is>
          <t>PABLO HERRERA (EJEMPLO)</t>
        </is>
      </c>
      <c r="D431" s="3" t="inlineStr">
        <is>
          <t>IMAGENES</t>
        </is>
      </c>
      <c r="E431" s="4" t="n">
        <v>46324</v>
      </c>
      <c r="F431" s="3" t="inlineStr">
        <is>
          <t>Jueves</t>
        </is>
      </c>
      <c r="G431" s="4" t="n">
        <v>46321</v>
      </c>
      <c r="H431" s="3" t="inlineStr">
        <is>
          <t>Intermedio S/sábado</t>
        </is>
      </c>
      <c r="I431" s="3" t="inlineStr">
        <is>
          <t>TRABAJA</t>
        </is>
      </c>
      <c r="J431" s="5" t="n">
        <v>0.375</v>
      </c>
      <c r="K431" s="5" t="n">
        <v>0.75</v>
      </c>
      <c r="L431" s="5">
        <f>IF(COUNT(J431:K431)=2,K431-J431,0)</f>
        <v/>
      </c>
      <c r="M431" s="6">
        <f>L431*24</f>
        <v/>
      </c>
      <c r="N431" s="3" t="n">
        <v>60</v>
      </c>
      <c r="O431" s="6">
        <f>N431/60</f>
        <v/>
      </c>
      <c r="P431" s="6">
        <f>M431-O431</f>
        <v/>
      </c>
      <c r="Q431" s="6">
        <f>SUMIFS($P:$P,$A:$A,A431,$G:$G,G431)</f>
        <v/>
      </c>
      <c r="R431" s="5" t="n">
        <v>0.46875</v>
      </c>
      <c r="S431" s="5" t="n">
        <v>0.6458333333333334</v>
      </c>
      <c r="T431" s="5" t="n">
        <v>0.5208333333333334</v>
      </c>
      <c r="U431" s="5" t="n">
        <v>0.5625</v>
      </c>
      <c r="V431" s="3">
        <f>IF(COUNT(T431:U431)=2,ROUND((U431-T431)*1440,0),0)</f>
        <v/>
      </c>
    </row>
    <row r="432">
      <c r="A432" s="2" t="inlineStr">
        <is>
          <t>27777776-2</t>
        </is>
      </c>
      <c r="B432" s="3" t="inlineStr">
        <is>
          <t>Activo</t>
        </is>
      </c>
      <c r="C432" s="3" t="inlineStr">
        <is>
          <t>PABLO HERRERA (EJEMPLO)</t>
        </is>
      </c>
      <c r="D432" s="3" t="inlineStr">
        <is>
          <t>IMAGENES</t>
        </is>
      </c>
      <c r="E432" s="4" t="n">
        <v>46325</v>
      </c>
      <c r="F432" s="3" t="inlineStr">
        <is>
          <t>Viernes</t>
        </is>
      </c>
      <c r="G432" s="4" t="n">
        <v>46321</v>
      </c>
      <c r="H432" s="3" t="inlineStr">
        <is>
          <t>Intermedio S/sábado</t>
        </is>
      </c>
      <c r="I432" s="3" t="inlineStr">
        <is>
          <t>TRABAJA</t>
        </is>
      </c>
      <c r="J432" s="5" t="n">
        <v>0.375</v>
      </c>
      <c r="K432" s="5" t="n">
        <v>0.75</v>
      </c>
      <c r="L432" s="5">
        <f>IF(COUNT(J432:K432)=2,K432-J432,0)</f>
        <v/>
      </c>
      <c r="M432" s="6">
        <f>L432*24</f>
        <v/>
      </c>
      <c r="N432" s="3" t="n">
        <v>60</v>
      </c>
      <c r="O432" s="6">
        <f>N432/60</f>
        <v/>
      </c>
      <c r="P432" s="6">
        <f>M432-O432</f>
        <v/>
      </c>
      <c r="Q432" s="6">
        <f>SUMIFS($P:$P,$A:$A,A432,$G:$G,G432)</f>
        <v/>
      </c>
      <c r="R432" s="5" t="n">
        <v>0.4791666666666667</v>
      </c>
      <c r="S432" s="5" t="n">
        <v>0.71875</v>
      </c>
      <c r="T432" s="5" t="n">
        <v>0.59375</v>
      </c>
      <c r="U432" s="5" t="n">
        <v>0.6354166666666666</v>
      </c>
      <c r="V432" s="3">
        <f>IF(COUNT(T432:U432)=2,ROUND((U432-T432)*1440,0),0)</f>
        <v/>
      </c>
    </row>
    <row r="433">
      <c r="A433" s="2" t="inlineStr">
        <is>
          <t>27777776-2</t>
        </is>
      </c>
      <c r="B433" s="3" t="inlineStr">
        <is>
          <t>Activo</t>
        </is>
      </c>
      <c r="C433" s="3" t="inlineStr">
        <is>
          <t>PABLO HERRERA (EJEMPLO)</t>
        </is>
      </c>
      <c r="D433" s="3" t="inlineStr">
        <is>
          <t>IMAGENES</t>
        </is>
      </c>
      <c r="E433" s="4" t="n">
        <v>46326</v>
      </c>
      <c r="F433" s="3" t="inlineStr">
        <is>
          <t>Sábado</t>
        </is>
      </c>
      <c r="G433" s="4" t="n">
        <v>46321</v>
      </c>
      <c r="H433" s="3" t="inlineStr">
        <is>
          <t>Intermedio S/sábado</t>
        </is>
      </c>
      <c r="I433" s="3" t="inlineStr">
        <is>
          <t>FERIADO</t>
        </is>
      </c>
      <c r="J433" s="5" t="n"/>
      <c r="K433" s="5" t="n"/>
      <c r="L433" s="5">
        <f>IF(COUNT(J433:K433)=2,K433-J433,0)</f>
        <v/>
      </c>
      <c r="M433" s="6">
        <f>L433*24</f>
        <v/>
      </c>
      <c r="N433" s="3" t="n">
        <v>0</v>
      </c>
      <c r="O433" s="6">
        <f>N433/60</f>
        <v/>
      </c>
      <c r="P433" s="6">
        <f>M433-O433</f>
        <v/>
      </c>
      <c r="Q433" s="6">
        <f>SUMIFS($P:$P,$A:$A,A433,$G:$G,G433)</f>
        <v/>
      </c>
      <c r="R433" s="5" t="n"/>
      <c r="S433" s="5" t="n"/>
      <c r="T433" s="5" t="n"/>
      <c r="U433" s="5" t="n"/>
      <c r="V433" s="3">
        <f>IF(COUNT(T433:U433)=2,ROUND((U433-T433)*1440,0),0)</f>
        <v/>
      </c>
    </row>
  </sheetData>
  <autoFilter ref="A1:V433"/>
  <conditionalFormatting sqref="A2:V433">
    <cfRule type="expression" priority="1" dxfId="0">
      <formula>$I2="LIBRE"</formula>
    </cfRule>
    <cfRule type="expression" priority="2" dxfId="1">
      <formula>$I2="LICENCIA"</formula>
    </cfRule>
    <cfRule type="expression" priority="3" dxfId="2">
      <formula>$I2="VACACIONES"</formula>
    </cfRule>
    <cfRule type="expression" priority="4" dxfId="3">
      <formula>$I2="PERMISO"</formula>
    </cfRule>
    <cfRule type="expression" priority="5" dxfId="4">
      <formula>$I2="FERIADO"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2" customWidth="1" min="4" max="4"/>
    <col width="11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SERVICIO</t>
        </is>
      </c>
      <c r="D1" s="1" t="inlineStr">
        <is>
          <t>HORAS CONTRATO SEMANAL</t>
        </is>
      </c>
      <c r="E1" s="1" t="inlineStr">
        <is>
          <t>MÁX. HORAS SEMANA</t>
        </is>
      </c>
      <c r="F1" s="1" t="inlineStr">
        <is>
          <t>HORAS PLANIFICADAS MES</t>
        </is>
      </c>
      <c r="G1" s="1" t="inlineStr">
        <is>
          <t>HORAS CONTRATO MES (ref.)</t>
        </is>
      </c>
      <c r="H1" s="1" t="inlineStr">
        <is>
          <t>DIFERENCIA</t>
        </is>
      </c>
      <c r="I1" s="1" t="inlineStr">
        <is>
          <t>DÍAS TRABAJADOS</t>
        </is>
      </c>
      <c r="J1" s="1" t="inlineStr">
        <is>
          <t>SÁBADOS TRABAJADOS</t>
        </is>
      </c>
      <c r="K1" s="1" t="inlineStr">
        <is>
          <t>SEMANAS TARDE</t>
        </is>
      </c>
      <c r="L1" s="1" t="inlineStr">
        <is>
          <t>DÍAS LIBRE</t>
        </is>
      </c>
      <c r="M1" s="1" t="inlineStr">
        <is>
          <t>LICENCIA</t>
        </is>
      </c>
      <c r="N1" s="1" t="inlineStr">
        <is>
          <t>VACACIONES</t>
        </is>
      </c>
    </row>
    <row r="2">
      <c r="A2" s="2" t="inlineStr">
        <is>
          <t>11111111-1</t>
        </is>
      </c>
      <c r="B2" s="3" t="inlineStr">
        <is>
          <t>ANA PÉREZ (EJEMPLO)</t>
        </is>
      </c>
      <c r="C2" s="3" t="inlineStr">
        <is>
          <t>EXAMEN Y PROCEDIMIENTOS</t>
        </is>
      </c>
      <c r="D2" s="6" t="n">
        <v>42</v>
      </c>
      <c r="E2" s="6" t="n">
        <v>42</v>
      </c>
      <c r="F2" s="6">
        <f>SUMIFS(PLANIFICACION_MENSUAL!$P:$P,PLANIFICACION_MENSUAL!$A:$A,A2)</f>
        <v/>
      </c>
      <c r="G2" s="6">
        <f>D2/5*21</f>
        <v/>
      </c>
      <c r="H2" s="6">
        <f>F2-G2</f>
        <v/>
      </c>
      <c r="I2" s="3">
        <f>COUNTIFS(PLANIFICACION_MENSUAL!$A:$A,A2,PLANIFICACION_MENSUAL!$I:$I,"TRABAJA")</f>
        <v/>
      </c>
      <c r="J2" s="3">
        <f>COUNTIFS(PLANIFICACION_MENSUAL!$A:$A,A2,PLANIFICACION_MENSUAL!$F:$F,"Sábado",PLANIFICACION_MENSUAL!$I:$I,"TRABAJA")</f>
        <v/>
      </c>
      <c r="K2" s="3" t="n">
        <v>1</v>
      </c>
      <c r="L2" s="3">
        <f>COUNTIFS(PLANIFICACION_MENSUAL!$A:$A,A2,PLANIFICACION_MENSUAL!$I:$I,"LIBRE")</f>
        <v/>
      </c>
      <c r="M2" s="3">
        <f>COUNTIFS(PLANIFICACION_MENSUAL!$A:$A,A2,PLANIFICACION_MENSUAL!$I:$I,"LICENCIA")</f>
        <v/>
      </c>
      <c r="N2" s="3">
        <f>COUNTIFS(PLANIFICACION_MENSUAL!$A:$A,A2,PLANIFICACION_MENSUAL!$I:$I,"VACACIONES")</f>
        <v/>
      </c>
    </row>
    <row r="3">
      <c r="A3" s="2" t="inlineStr">
        <is>
          <t>12222222-5</t>
        </is>
      </c>
      <c r="B3" s="3" t="inlineStr">
        <is>
          <t>BRUNO SOTO (EJEMPLO)</t>
        </is>
      </c>
      <c r="C3" s="3" t="inlineStr">
        <is>
          <t>EXAMEN Y PROCEDIMIENTOS</t>
        </is>
      </c>
      <c r="D3" s="6" t="n">
        <v>42</v>
      </c>
      <c r="E3" s="6" t="n">
        <v>42</v>
      </c>
      <c r="F3" s="6">
        <f>SUMIFS(PLANIFICACION_MENSUAL!$P:$P,PLANIFICACION_MENSUAL!$A:$A,A3)</f>
        <v/>
      </c>
      <c r="G3" s="6">
        <f>D3/5*21</f>
        <v/>
      </c>
      <c r="H3" s="6">
        <f>F3-G3</f>
        <v/>
      </c>
      <c r="I3" s="3">
        <f>COUNTIFS(PLANIFICACION_MENSUAL!$A:$A,A3,PLANIFICACION_MENSUAL!$I:$I,"TRABAJA")</f>
        <v/>
      </c>
      <c r="J3" s="3">
        <f>COUNTIFS(PLANIFICACION_MENSUAL!$A:$A,A3,PLANIFICACION_MENSUAL!$F:$F,"Sábado",PLANIFICACION_MENSUAL!$I:$I,"TRABAJA")</f>
        <v/>
      </c>
      <c r="K3" s="3" t="n">
        <v>1</v>
      </c>
      <c r="L3" s="3">
        <f>COUNTIFS(PLANIFICACION_MENSUAL!$A:$A,A3,PLANIFICACION_MENSUAL!$I:$I,"LIBRE")</f>
        <v/>
      </c>
      <c r="M3" s="3">
        <f>COUNTIFS(PLANIFICACION_MENSUAL!$A:$A,A3,PLANIFICACION_MENSUAL!$I:$I,"LICENCIA")</f>
        <v/>
      </c>
      <c r="N3" s="3">
        <f>COUNTIFS(PLANIFICACION_MENSUAL!$A:$A,A3,PLANIFICACION_MENSUAL!$I:$I,"VACACIONES")</f>
        <v/>
      </c>
    </row>
    <row r="4">
      <c r="A4" s="2" t="inlineStr">
        <is>
          <t>13333333-9</t>
        </is>
      </c>
      <c r="B4" s="3" t="inlineStr">
        <is>
          <t>CARLA DÍAZ (EJEMPLO)</t>
        </is>
      </c>
      <c r="C4" s="3" t="inlineStr">
        <is>
          <t>EXAMEN Y PROCEDIMIENTOS</t>
        </is>
      </c>
      <c r="D4" s="6" t="n">
        <v>42</v>
      </c>
      <c r="E4" s="6" t="n">
        <v>42</v>
      </c>
      <c r="F4" s="6">
        <f>SUMIFS(PLANIFICACION_MENSUAL!$P:$P,PLANIFICACION_MENSUAL!$A:$A,A4)</f>
        <v/>
      </c>
      <c r="G4" s="6">
        <f>D4/5*21</f>
        <v/>
      </c>
      <c r="H4" s="6">
        <f>F4-G4</f>
        <v/>
      </c>
      <c r="I4" s="3">
        <f>COUNTIFS(PLANIFICACION_MENSUAL!$A:$A,A4,PLANIFICACION_MENSUAL!$I:$I,"TRABAJA")</f>
        <v/>
      </c>
      <c r="J4" s="3">
        <f>COUNTIFS(PLANIFICACION_MENSUAL!$A:$A,A4,PLANIFICACION_MENSUAL!$F:$F,"Sábado",PLANIFICACION_MENSUAL!$I:$I,"TRABAJA")</f>
        <v/>
      </c>
      <c r="K4" s="3" t="n">
        <v>1</v>
      </c>
      <c r="L4" s="3">
        <f>COUNTIFS(PLANIFICACION_MENSUAL!$A:$A,A4,PLANIFICACION_MENSUAL!$I:$I,"LIBRE")</f>
        <v/>
      </c>
      <c r="M4" s="3">
        <f>COUNTIFS(PLANIFICACION_MENSUAL!$A:$A,A4,PLANIFICACION_MENSUAL!$I:$I,"LICENCIA")</f>
        <v/>
      </c>
      <c r="N4" s="3">
        <f>COUNTIFS(PLANIFICACION_MENSUAL!$A:$A,A4,PLANIFICACION_MENSUAL!$I:$I,"VACACIONES")</f>
        <v/>
      </c>
    </row>
    <row r="5">
      <c r="A5" s="2" t="inlineStr">
        <is>
          <t>14444444-2</t>
        </is>
      </c>
      <c r="B5" s="3" t="inlineStr">
        <is>
          <t>DIEGO ROJAS (EJEMPLO)</t>
        </is>
      </c>
      <c r="C5" s="3" t="inlineStr">
        <is>
          <t>EXAMEN Y PROCEDIMIENTOS</t>
        </is>
      </c>
      <c r="D5" s="6" t="n">
        <v>42</v>
      </c>
      <c r="E5" s="6" t="n">
        <v>42</v>
      </c>
      <c r="F5" s="6">
        <f>SUMIFS(PLANIFICACION_MENSUAL!$P:$P,PLANIFICACION_MENSUAL!$A:$A,A5)</f>
        <v/>
      </c>
      <c r="G5" s="6">
        <f>D5/5*21</f>
        <v/>
      </c>
      <c r="H5" s="6">
        <f>F5-G5</f>
        <v/>
      </c>
      <c r="I5" s="3">
        <f>COUNTIFS(PLANIFICACION_MENSUAL!$A:$A,A5,PLANIFICACION_MENSUAL!$I:$I,"TRABAJA")</f>
        <v/>
      </c>
      <c r="J5" s="3">
        <f>COUNTIFS(PLANIFICACION_MENSUAL!$A:$A,A5,PLANIFICACION_MENSUAL!$F:$F,"Sábado",PLANIFICACION_MENSUAL!$I:$I,"TRABAJA")</f>
        <v/>
      </c>
      <c r="K5" s="3" t="n">
        <v>1</v>
      </c>
      <c r="L5" s="3">
        <f>COUNTIFS(PLANIFICACION_MENSUAL!$A:$A,A5,PLANIFICACION_MENSUAL!$I:$I,"LIBRE")</f>
        <v/>
      </c>
      <c r="M5" s="3">
        <f>COUNTIFS(PLANIFICACION_MENSUAL!$A:$A,A5,PLANIFICACION_MENSUAL!$I:$I,"LICENCIA")</f>
        <v/>
      </c>
      <c r="N5" s="3">
        <f>COUNTIFS(PLANIFICACION_MENSUAL!$A:$A,A5,PLANIFICACION_MENSUAL!$I:$I,"VACACIONES")</f>
        <v/>
      </c>
    </row>
    <row r="6">
      <c r="A6" s="2" t="inlineStr">
        <is>
          <t>15555555-6</t>
        </is>
      </c>
      <c r="B6" s="3" t="inlineStr">
        <is>
          <t>ELENA MUÑOZ (EJEMPLO)</t>
        </is>
      </c>
      <c r="C6" s="3" t="inlineStr">
        <is>
          <t>EXAMEN Y PROCEDIMIENTOS</t>
        </is>
      </c>
      <c r="D6" s="6" t="n">
        <v>42</v>
      </c>
      <c r="E6" s="6" t="n">
        <v>42</v>
      </c>
      <c r="F6" s="6">
        <f>SUMIFS(PLANIFICACION_MENSUAL!$P:$P,PLANIFICACION_MENSUAL!$A:$A,A6)</f>
        <v/>
      </c>
      <c r="G6" s="6">
        <f>D6/5*21</f>
        <v/>
      </c>
      <c r="H6" s="6">
        <f>F6-G6</f>
        <v/>
      </c>
      <c r="I6" s="3">
        <f>COUNTIFS(PLANIFICACION_MENSUAL!$A:$A,A6,PLANIFICACION_MENSUAL!$I:$I,"TRABAJA")</f>
        <v/>
      </c>
      <c r="J6" s="3">
        <f>COUNTIFS(PLANIFICACION_MENSUAL!$A:$A,A6,PLANIFICACION_MENSUAL!$F:$F,"Sábado",PLANIFICACION_MENSUAL!$I:$I,"TRABAJA")</f>
        <v/>
      </c>
      <c r="K6" s="3" t="n">
        <v>1</v>
      </c>
      <c r="L6" s="3">
        <f>COUNTIFS(PLANIFICACION_MENSUAL!$A:$A,A6,PLANIFICACION_MENSUAL!$I:$I,"LIBRE")</f>
        <v/>
      </c>
      <c r="M6" s="3">
        <f>COUNTIFS(PLANIFICACION_MENSUAL!$A:$A,A6,PLANIFICACION_MENSUAL!$I:$I,"LICENCIA")</f>
        <v/>
      </c>
      <c r="N6" s="3">
        <f>COUNTIFS(PLANIFICACION_MENSUAL!$A:$A,A6,PLANIFICACION_MENSUAL!$I:$I,"VACACIONES")</f>
        <v/>
      </c>
    </row>
    <row r="7">
      <c r="A7" s="2" t="inlineStr">
        <is>
          <t>16666666-K</t>
        </is>
      </c>
      <c r="B7" s="3" t="inlineStr">
        <is>
          <t>FELIPE VERA (EJEMPLO)</t>
        </is>
      </c>
      <c r="C7" s="3" t="inlineStr">
        <is>
          <t>EXAMEN Y PROCEDIMIENTOS</t>
        </is>
      </c>
      <c r="D7" s="6" t="n">
        <v>42</v>
      </c>
      <c r="E7" s="6" t="n">
        <v>42</v>
      </c>
      <c r="F7" s="6">
        <f>SUMIFS(PLANIFICACION_MENSUAL!$P:$P,PLANIFICACION_MENSUAL!$A:$A,A7)</f>
        <v/>
      </c>
      <c r="G7" s="6">
        <f>D7/5*21</f>
        <v/>
      </c>
      <c r="H7" s="6">
        <f>F7-G7</f>
        <v/>
      </c>
      <c r="I7" s="3">
        <f>COUNTIFS(PLANIFICACION_MENSUAL!$A:$A,A7,PLANIFICACION_MENSUAL!$I:$I,"TRABAJA")</f>
        <v/>
      </c>
      <c r="J7" s="3">
        <f>COUNTIFS(PLANIFICACION_MENSUAL!$A:$A,A7,PLANIFICACION_MENSUAL!$F:$F,"Sábado",PLANIFICACION_MENSUAL!$I:$I,"TRABAJA")</f>
        <v/>
      </c>
      <c r="K7" s="3" t="n">
        <v>1</v>
      </c>
      <c r="L7" s="3">
        <f>COUNTIFS(PLANIFICACION_MENSUAL!$A:$A,A7,PLANIFICACION_MENSUAL!$I:$I,"LIBRE")</f>
        <v/>
      </c>
      <c r="M7" s="3">
        <f>COUNTIFS(PLANIFICACION_MENSUAL!$A:$A,A7,PLANIFICACION_MENSUAL!$I:$I,"LICENCIA")</f>
        <v/>
      </c>
      <c r="N7" s="3">
        <f>COUNTIFS(PLANIFICACION_MENSUAL!$A:$A,A7,PLANIFICACION_MENSUAL!$I:$I,"VACACIONES")</f>
        <v/>
      </c>
    </row>
    <row r="8">
      <c r="A8" s="2" t="inlineStr">
        <is>
          <t>17777777-3</t>
        </is>
      </c>
      <c r="B8" s="3" t="inlineStr">
        <is>
          <t>GABRIELA LAGOS (EJEMPLO)</t>
        </is>
      </c>
      <c r="C8" s="3" t="inlineStr">
        <is>
          <t>EXAMEN Y PROCEDIMIENTOS</t>
        </is>
      </c>
      <c r="D8" s="6" t="n">
        <v>42</v>
      </c>
      <c r="E8" s="6" t="n">
        <v>42</v>
      </c>
      <c r="F8" s="6">
        <f>SUMIFS(PLANIFICACION_MENSUAL!$P:$P,PLANIFICACION_MENSUAL!$A:$A,A8)</f>
        <v/>
      </c>
      <c r="G8" s="6">
        <f>D8/5*21</f>
        <v/>
      </c>
      <c r="H8" s="6">
        <f>F8-G8</f>
        <v/>
      </c>
      <c r="I8" s="3">
        <f>COUNTIFS(PLANIFICACION_MENSUAL!$A:$A,A8,PLANIFICACION_MENSUAL!$I:$I,"TRABAJA")</f>
        <v/>
      </c>
      <c r="J8" s="3">
        <f>COUNTIFS(PLANIFICACION_MENSUAL!$A:$A,A8,PLANIFICACION_MENSUAL!$F:$F,"Sábado",PLANIFICACION_MENSUAL!$I:$I,"TRABAJA")</f>
        <v/>
      </c>
      <c r="K8" s="3" t="n">
        <v>1</v>
      </c>
      <c r="L8" s="3">
        <f>COUNTIFS(PLANIFICACION_MENSUAL!$A:$A,A8,PLANIFICACION_MENSUAL!$I:$I,"LIBRE")</f>
        <v/>
      </c>
      <c r="M8" s="3">
        <f>COUNTIFS(PLANIFICACION_MENSUAL!$A:$A,A8,PLANIFICACION_MENSUAL!$I:$I,"LICENCIA")</f>
        <v/>
      </c>
      <c r="N8" s="3">
        <f>COUNTIFS(PLANIFICACION_MENSUAL!$A:$A,A8,PLANIFICACION_MENSUAL!$I:$I,"VACACIONES")</f>
        <v/>
      </c>
    </row>
    <row r="9">
      <c r="A9" s="2" t="inlineStr">
        <is>
          <t>18888888-7</t>
        </is>
      </c>
      <c r="B9" s="3" t="inlineStr">
        <is>
          <t>HUGO FUENTES (EJEMPLO)</t>
        </is>
      </c>
      <c r="C9" s="3" t="inlineStr">
        <is>
          <t>EXAMEN Y PROCEDIMIENTOS</t>
        </is>
      </c>
      <c r="D9" s="6" t="n">
        <v>42</v>
      </c>
      <c r="E9" s="6" t="n">
        <v>42</v>
      </c>
      <c r="F9" s="6">
        <f>SUMIFS(PLANIFICACION_MENSUAL!$P:$P,PLANIFICACION_MENSUAL!$A:$A,A9)</f>
        <v/>
      </c>
      <c r="G9" s="6">
        <f>D9/5*21</f>
        <v/>
      </c>
      <c r="H9" s="6">
        <f>F9-G9</f>
        <v/>
      </c>
      <c r="I9" s="3">
        <f>COUNTIFS(PLANIFICACION_MENSUAL!$A:$A,A9,PLANIFICACION_MENSUAL!$I:$I,"TRABAJA")</f>
        <v/>
      </c>
      <c r="J9" s="3">
        <f>COUNTIFS(PLANIFICACION_MENSUAL!$A:$A,A9,PLANIFICACION_MENSUAL!$F:$F,"Sábado",PLANIFICACION_MENSUAL!$I:$I,"TRABAJA")</f>
        <v/>
      </c>
      <c r="K9" s="3" t="n">
        <v>1</v>
      </c>
      <c r="L9" s="3">
        <f>COUNTIFS(PLANIFICACION_MENSUAL!$A:$A,A9,PLANIFICACION_MENSUAL!$I:$I,"LIBRE")</f>
        <v/>
      </c>
      <c r="M9" s="3">
        <f>COUNTIFS(PLANIFICACION_MENSUAL!$A:$A,A9,PLANIFICACION_MENSUAL!$I:$I,"LICENCIA")</f>
        <v/>
      </c>
      <c r="N9" s="3">
        <f>COUNTIFS(PLANIFICACION_MENSUAL!$A:$A,A9,PLANIFICACION_MENSUAL!$I:$I,"VACACIONES")</f>
        <v/>
      </c>
    </row>
    <row r="10">
      <c r="A10" s="2" t="inlineStr">
        <is>
          <t>19999999-0</t>
        </is>
      </c>
      <c r="B10" s="3" t="inlineStr">
        <is>
          <t>ISABEL CASTRO (EJEMPLO)</t>
        </is>
      </c>
      <c r="C10" s="3" t="inlineStr">
        <is>
          <t>EXAMEN Y PROCEDIMIENTOS</t>
        </is>
      </c>
      <c r="D10" s="6" t="n">
        <v>42</v>
      </c>
      <c r="E10" s="6" t="n">
        <v>42</v>
      </c>
      <c r="F10" s="6">
        <f>SUMIFS(PLANIFICACION_MENSUAL!$P:$P,PLANIFICACION_MENSUAL!$A:$A,A10)</f>
        <v/>
      </c>
      <c r="G10" s="6">
        <f>D10/5*21</f>
        <v/>
      </c>
      <c r="H10" s="6">
        <f>F10-G10</f>
        <v/>
      </c>
      <c r="I10" s="3">
        <f>COUNTIFS(PLANIFICACION_MENSUAL!$A:$A,A10,PLANIFICACION_MENSUAL!$I:$I,"TRABAJA")</f>
        <v/>
      </c>
      <c r="J10" s="3">
        <f>COUNTIFS(PLANIFICACION_MENSUAL!$A:$A,A10,PLANIFICACION_MENSUAL!$F:$F,"Sábado",PLANIFICACION_MENSUAL!$I:$I,"TRABAJA")</f>
        <v/>
      </c>
      <c r="K10" s="3" t="n">
        <v>1</v>
      </c>
      <c r="L10" s="3">
        <f>COUNTIFS(PLANIFICACION_MENSUAL!$A:$A,A10,PLANIFICACION_MENSUAL!$I:$I,"LIBRE")</f>
        <v/>
      </c>
      <c r="M10" s="3">
        <f>COUNTIFS(PLANIFICACION_MENSUAL!$A:$A,A10,PLANIFICACION_MENSUAL!$I:$I,"LICENCIA")</f>
        <v/>
      </c>
      <c r="N10" s="3">
        <f>COUNTIFS(PLANIFICACION_MENSUAL!$A:$A,A10,PLANIFICACION_MENSUAL!$I:$I,"VACACIONES")</f>
        <v/>
      </c>
    </row>
    <row r="11">
      <c r="A11" s="2" t="inlineStr">
        <is>
          <t>21111110-0</t>
        </is>
      </c>
      <c r="B11" s="3" t="inlineStr">
        <is>
          <t>JORGE REYES (EJEMPLO)</t>
        </is>
      </c>
      <c r="C11" s="3" t="inlineStr">
        <is>
          <t>EXAMEN Y PROCEDIMIENTOS</t>
        </is>
      </c>
      <c r="D11" s="6" t="n">
        <v>42</v>
      </c>
      <c r="E11" s="6" t="n">
        <v>42</v>
      </c>
      <c r="F11" s="6">
        <f>SUMIFS(PLANIFICACION_MENSUAL!$P:$P,PLANIFICACION_MENSUAL!$A:$A,A11)</f>
        <v/>
      </c>
      <c r="G11" s="6">
        <f>D11/5*21</f>
        <v/>
      </c>
      <c r="H11" s="6">
        <f>F11-G11</f>
        <v/>
      </c>
      <c r="I11" s="3">
        <f>COUNTIFS(PLANIFICACION_MENSUAL!$A:$A,A11,PLANIFICACION_MENSUAL!$I:$I,"TRABAJA")</f>
        <v/>
      </c>
      <c r="J11" s="3">
        <f>COUNTIFS(PLANIFICACION_MENSUAL!$A:$A,A11,PLANIFICACION_MENSUAL!$F:$F,"Sábado",PLANIFICACION_MENSUAL!$I:$I,"TRABAJA")</f>
        <v/>
      </c>
      <c r="K11" s="3" t="n">
        <v>1</v>
      </c>
      <c r="L11" s="3">
        <f>COUNTIFS(PLANIFICACION_MENSUAL!$A:$A,A11,PLANIFICACION_MENSUAL!$I:$I,"LIBRE")</f>
        <v/>
      </c>
      <c r="M11" s="3">
        <f>COUNTIFS(PLANIFICACION_MENSUAL!$A:$A,A11,PLANIFICACION_MENSUAL!$I:$I,"LICENCIA")</f>
        <v/>
      </c>
      <c r="N11" s="3">
        <f>COUNTIFS(PLANIFICACION_MENSUAL!$A:$A,A11,PLANIFICACION_MENSUAL!$I:$I,"VACACIONES")</f>
        <v/>
      </c>
    </row>
    <row r="12">
      <c r="A12" s="2" t="inlineStr">
        <is>
          <t>22222221-4</t>
        </is>
      </c>
      <c r="B12" s="3" t="inlineStr">
        <is>
          <t>KAREN SILVA (EJEMPLO)</t>
        </is>
      </c>
      <c r="C12" s="3" t="inlineStr">
        <is>
          <t>EXAMEN Y PROCEDIMIENTOS</t>
        </is>
      </c>
      <c r="D12" s="6" t="n">
        <v>42</v>
      </c>
      <c r="E12" s="6" t="n">
        <v>42</v>
      </c>
      <c r="F12" s="6">
        <f>SUMIFS(PLANIFICACION_MENSUAL!$P:$P,PLANIFICACION_MENSUAL!$A:$A,A12)</f>
        <v/>
      </c>
      <c r="G12" s="6">
        <f>D12/5*21</f>
        <v/>
      </c>
      <c r="H12" s="6">
        <f>F12-G12</f>
        <v/>
      </c>
      <c r="I12" s="3">
        <f>COUNTIFS(PLANIFICACION_MENSUAL!$A:$A,A12,PLANIFICACION_MENSUAL!$I:$I,"TRABAJA")</f>
        <v/>
      </c>
      <c r="J12" s="3">
        <f>COUNTIFS(PLANIFICACION_MENSUAL!$A:$A,A12,PLANIFICACION_MENSUAL!$F:$F,"Sábado",PLANIFICACION_MENSUAL!$I:$I,"TRABAJA")</f>
        <v/>
      </c>
      <c r="K12" s="3" t="n">
        <v>1</v>
      </c>
      <c r="L12" s="3">
        <f>COUNTIFS(PLANIFICACION_MENSUAL!$A:$A,A12,PLANIFICACION_MENSUAL!$I:$I,"LIBRE")</f>
        <v/>
      </c>
      <c r="M12" s="3">
        <f>COUNTIFS(PLANIFICACION_MENSUAL!$A:$A,A12,PLANIFICACION_MENSUAL!$I:$I,"LICENCIA")</f>
        <v/>
      </c>
      <c r="N12" s="3">
        <f>COUNTIFS(PLANIFICACION_MENSUAL!$A:$A,A12,PLANIFICACION_MENSUAL!$I:$I,"VACACIONES")</f>
        <v/>
      </c>
    </row>
    <row r="13">
      <c r="A13" s="2" t="inlineStr">
        <is>
          <t>23333332-8</t>
        </is>
      </c>
      <c r="B13" s="3" t="inlineStr">
        <is>
          <t>LUIS MORALES (EJEMPLO)</t>
        </is>
      </c>
      <c r="C13" s="3" t="inlineStr">
        <is>
          <t>EXAMEN Y PROCEDIMIENTOS</t>
        </is>
      </c>
      <c r="D13" s="6" t="n">
        <v>42</v>
      </c>
      <c r="E13" s="6" t="n">
        <v>42</v>
      </c>
      <c r="F13" s="6">
        <f>SUMIFS(PLANIFICACION_MENSUAL!$P:$P,PLANIFICACION_MENSUAL!$A:$A,A13)</f>
        <v/>
      </c>
      <c r="G13" s="6">
        <f>D13/5*21</f>
        <v/>
      </c>
      <c r="H13" s="6">
        <f>F13-G13</f>
        <v/>
      </c>
      <c r="I13" s="3">
        <f>COUNTIFS(PLANIFICACION_MENSUAL!$A:$A,A13,PLANIFICACION_MENSUAL!$I:$I,"TRABAJA")</f>
        <v/>
      </c>
      <c r="J13" s="3">
        <f>COUNTIFS(PLANIFICACION_MENSUAL!$A:$A,A13,PLANIFICACION_MENSUAL!$F:$F,"Sábado",PLANIFICACION_MENSUAL!$I:$I,"TRABAJA")</f>
        <v/>
      </c>
      <c r="K13" s="3" t="n">
        <v>1</v>
      </c>
      <c r="L13" s="3">
        <f>COUNTIFS(PLANIFICACION_MENSUAL!$A:$A,A13,PLANIFICACION_MENSUAL!$I:$I,"LIBRE")</f>
        <v/>
      </c>
      <c r="M13" s="3">
        <f>COUNTIFS(PLANIFICACION_MENSUAL!$A:$A,A13,PLANIFICACION_MENSUAL!$I:$I,"LICENCIA")</f>
        <v/>
      </c>
      <c r="N13" s="3">
        <f>COUNTIFS(PLANIFICACION_MENSUAL!$A:$A,A13,PLANIFICACION_MENSUAL!$I:$I,"VACACIONES")</f>
        <v/>
      </c>
    </row>
    <row r="14">
      <c r="A14" s="2" t="inlineStr">
        <is>
          <t>24444443-1</t>
        </is>
      </c>
      <c r="B14" s="3" t="inlineStr">
        <is>
          <t>MARÍA TORRES (EJEMPLO)</t>
        </is>
      </c>
      <c r="C14" s="3" t="inlineStr">
        <is>
          <t>EXAMEN Y PROCEDIMIENTOS</t>
        </is>
      </c>
      <c r="D14" s="6" t="n">
        <v>42</v>
      </c>
      <c r="E14" s="6" t="n">
        <v>42</v>
      </c>
      <c r="F14" s="6">
        <f>SUMIFS(PLANIFICACION_MENSUAL!$P:$P,PLANIFICACION_MENSUAL!$A:$A,A14)</f>
        <v/>
      </c>
      <c r="G14" s="6">
        <f>D14/5*21</f>
        <v/>
      </c>
      <c r="H14" s="6">
        <f>F14-G14</f>
        <v/>
      </c>
      <c r="I14" s="3">
        <f>COUNTIFS(PLANIFICACION_MENSUAL!$A:$A,A14,PLANIFICACION_MENSUAL!$I:$I,"TRABAJA")</f>
        <v/>
      </c>
      <c r="J14" s="3">
        <f>COUNTIFS(PLANIFICACION_MENSUAL!$A:$A,A14,PLANIFICACION_MENSUAL!$F:$F,"Sábado",PLANIFICACION_MENSUAL!$I:$I,"TRABAJA")</f>
        <v/>
      </c>
      <c r="K14" s="3" t="n">
        <v>1</v>
      </c>
      <c r="L14" s="3">
        <f>COUNTIFS(PLANIFICACION_MENSUAL!$A:$A,A14,PLANIFICACION_MENSUAL!$I:$I,"LIBRE")</f>
        <v/>
      </c>
      <c r="M14" s="3">
        <f>COUNTIFS(PLANIFICACION_MENSUAL!$A:$A,A14,PLANIFICACION_MENSUAL!$I:$I,"LICENCIA")</f>
        <v/>
      </c>
      <c r="N14" s="3">
        <f>COUNTIFS(PLANIFICACION_MENSUAL!$A:$A,A14,PLANIFICACION_MENSUAL!$I:$I,"VACACIONES")</f>
        <v/>
      </c>
    </row>
    <row r="15">
      <c r="A15" s="2" t="inlineStr">
        <is>
          <t>25555554-5</t>
        </is>
      </c>
      <c r="B15" s="3" t="inlineStr">
        <is>
          <t>NICOLÁS PAREDES (EJEMPLO)</t>
        </is>
      </c>
      <c r="C15" s="3" t="inlineStr">
        <is>
          <t>IMAGENES</t>
        </is>
      </c>
      <c r="D15" s="6" t="n">
        <v>42</v>
      </c>
      <c r="E15" s="6" t="n">
        <v>42</v>
      </c>
      <c r="F15" s="6">
        <f>SUMIFS(PLANIFICACION_MENSUAL!$P:$P,PLANIFICACION_MENSUAL!$A:$A,A15)</f>
        <v/>
      </c>
      <c r="G15" s="6">
        <f>D15/5*21</f>
        <v/>
      </c>
      <c r="H15" s="6">
        <f>F15-G15</f>
        <v/>
      </c>
      <c r="I15" s="3">
        <f>COUNTIFS(PLANIFICACION_MENSUAL!$A:$A,A15,PLANIFICACION_MENSUAL!$I:$I,"TRABAJA")</f>
        <v/>
      </c>
      <c r="J15" s="3">
        <f>COUNTIFS(PLANIFICACION_MENSUAL!$A:$A,A15,PLANIFICACION_MENSUAL!$F:$F,"Sábado",PLANIFICACION_MENSUAL!$I:$I,"TRABAJA")</f>
        <v/>
      </c>
      <c r="K15" s="3" t="n">
        <v>1</v>
      </c>
      <c r="L15" s="3">
        <f>COUNTIFS(PLANIFICACION_MENSUAL!$A:$A,A15,PLANIFICACION_MENSUAL!$I:$I,"LIBRE")</f>
        <v/>
      </c>
      <c r="M15" s="3">
        <f>COUNTIFS(PLANIFICACION_MENSUAL!$A:$A,A15,PLANIFICACION_MENSUAL!$I:$I,"LICENCIA")</f>
        <v/>
      </c>
      <c r="N15" s="3">
        <f>COUNTIFS(PLANIFICACION_MENSUAL!$A:$A,A15,PLANIFICACION_MENSUAL!$I:$I,"VACACIONES")</f>
        <v/>
      </c>
    </row>
    <row r="16">
      <c r="A16" s="2" t="inlineStr">
        <is>
          <t>26666665-9</t>
        </is>
      </c>
      <c r="B16" s="3" t="inlineStr">
        <is>
          <t>OLGA NAVARRO (EJEMPLO)</t>
        </is>
      </c>
      <c r="C16" s="3" t="inlineStr">
        <is>
          <t>IMAGENES</t>
        </is>
      </c>
      <c r="D16" s="6" t="n">
        <v>42</v>
      </c>
      <c r="E16" s="6" t="n">
        <v>42</v>
      </c>
      <c r="F16" s="6">
        <f>SUMIFS(PLANIFICACION_MENSUAL!$P:$P,PLANIFICACION_MENSUAL!$A:$A,A16)</f>
        <v/>
      </c>
      <c r="G16" s="6">
        <f>D16/5*21</f>
        <v/>
      </c>
      <c r="H16" s="6">
        <f>F16-G16</f>
        <v/>
      </c>
      <c r="I16" s="3">
        <f>COUNTIFS(PLANIFICACION_MENSUAL!$A:$A,A16,PLANIFICACION_MENSUAL!$I:$I,"TRABAJA")</f>
        <v/>
      </c>
      <c r="J16" s="3">
        <f>COUNTIFS(PLANIFICACION_MENSUAL!$A:$A,A16,PLANIFICACION_MENSUAL!$F:$F,"Sábado",PLANIFICACION_MENSUAL!$I:$I,"TRABAJA")</f>
        <v/>
      </c>
      <c r="K16" s="3" t="n">
        <v>1</v>
      </c>
      <c r="L16" s="3">
        <f>COUNTIFS(PLANIFICACION_MENSUAL!$A:$A,A16,PLANIFICACION_MENSUAL!$I:$I,"LIBRE")</f>
        <v/>
      </c>
      <c r="M16" s="3">
        <f>COUNTIFS(PLANIFICACION_MENSUAL!$A:$A,A16,PLANIFICACION_MENSUAL!$I:$I,"LICENCIA")</f>
        <v/>
      </c>
      <c r="N16" s="3">
        <f>COUNTIFS(PLANIFICACION_MENSUAL!$A:$A,A16,PLANIFICACION_MENSUAL!$I:$I,"VACACIONES")</f>
        <v/>
      </c>
    </row>
    <row r="17">
      <c r="A17" s="2" t="inlineStr">
        <is>
          <t>27777776-2</t>
        </is>
      </c>
      <c r="B17" s="3" t="inlineStr">
        <is>
          <t>PABLO HERRERA (EJEMPLO)</t>
        </is>
      </c>
      <c r="C17" s="3" t="inlineStr">
        <is>
          <t>IMAGENES</t>
        </is>
      </c>
      <c r="D17" s="6" t="n">
        <v>42</v>
      </c>
      <c r="E17" s="6" t="n">
        <v>42</v>
      </c>
      <c r="F17" s="6">
        <f>SUMIFS(PLANIFICACION_MENSUAL!$P:$P,PLANIFICACION_MENSUAL!$A:$A,A17)</f>
        <v/>
      </c>
      <c r="G17" s="6">
        <f>D17/5*21</f>
        <v/>
      </c>
      <c r="H17" s="6">
        <f>F17-G17</f>
        <v/>
      </c>
      <c r="I17" s="3">
        <f>COUNTIFS(PLANIFICACION_MENSUAL!$A:$A,A17,PLANIFICACION_MENSUAL!$I:$I,"TRABAJA")</f>
        <v/>
      </c>
      <c r="J17" s="3">
        <f>COUNTIFS(PLANIFICACION_MENSUAL!$A:$A,A17,PLANIFICACION_MENSUAL!$F:$F,"Sábado",PLANIFICACION_MENSUAL!$I:$I,"TRABAJA")</f>
        <v/>
      </c>
      <c r="K17" s="3" t="n">
        <v>0</v>
      </c>
      <c r="L17" s="3">
        <f>COUNTIFS(PLANIFICACION_MENSUAL!$A:$A,A17,PLANIFICACION_MENSUAL!$I:$I,"LIBRE")</f>
        <v/>
      </c>
      <c r="M17" s="3">
        <f>COUNTIFS(PLANIFICACION_MENSUAL!$A:$A,A17,PLANIFICACION_MENSUAL!$I:$I,"LICENCIA")</f>
        <v/>
      </c>
      <c r="N17" s="3">
        <f>COUNTIFS(PLANIFICACION_MENSUAL!$A:$A,A17,PLANIFICACION_MENSUAL!$I:$I,"VACACIONES")</f>
        <v/>
      </c>
    </row>
    <row r="18">
      <c r="A18" s="7" t="inlineStr">
        <is>
          <t>TOTAL</t>
        </is>
      </c>
      <c r="B18" s="8">
        <f>COUNTA(A2:A17)&amp;" ejecutivos"</f>
        <v/>
      </c>
      <c r="C18" s="8" t="n"/>
      <c r="D18" s="9">
        <f>SUM(D2:D17)</f>
        <v/>
      </c>
      <c r="E18" s="9">
        <f>MAX(E2:E17)</f>
        <v/>
      </c>
      <c r="F18" s="9">
        <f>SUM(F2:F17)</f>
        <v/>
      </c>
      <c r="G18" s="9">
        <f>SUM(G2:G17)</f>
        <v/>
      </c>
      <c r="H18" s="9">
        <f>SUM(H2:H17)</f>
        <v/>
      </c>
      <c r="I18" s="8">
        <f>SUM(I2:I17)</f>
        <v/>
      </c>
      <c r="J18" s="8">
        <f>SUM(J2:J17)</f>
        <v/>
      </c>
      <c r="K18" s="8">
        <f>SUM(K2:K17)</f>
        <v/>
      </c>
      <c r="L18" s="8">
        <f>SUM(L2:L17)</f>
        <v/>
      </c>
      <c r="M18" s="8">
        <f>SUM(M2:M17)</f>
        <v/>
      </c>
      <c r="N18" s="8">
        <f>SUM(N2:N17)</f>
        <v/>
      </c>
    </row>
  </sheetData>
  <autoFilter ref="A1:N18"/>
  <conditionalFormatting sqref="E2:E17">
    <cfRule type="expression" priority="1" dxfId="5">
      <formula>E2&gt;D2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</cols>
  <sheetData>
    <row r="1">
      <c r="A1" s="1" t="inlineStr">
        <is>
          <t>FECHA</t>
        </is>
      </c>
      <c r="B1" s="1" t="inlineStr">
        <is>
          <t>DIA</t>
        </is>
      </c>
      <c r="C1" s="1" t="inlineStr">
        <is>
          <t>TIPO_DIA</t>
        </is>
      </c>
      <c r="D1" s="10" t="n">
        <v>0.3333333333333333</v>
      </c>
      <c r="E1" s="10" t="n">
        <v>0.375</v>
      </c>
      <c r="F1" s="10" t="n">
        <v>0.4166666666666667</v>
      </c>
      <c r="G1" s="10" t="n">
        <v>0.4583333333333333</v>
      </c>
      <c r="H1" s="10" t="n">
        <v>0.5</v>
      </c>
      <c r="I1" s="10" t="n">
        <v>0.5416666666666666</v>
      </c>
      <c r="J1" s="10" t="n">
        <v>0.5833333333333334</v>
      </c>
      <c r="K1" s="10" t="n">
        <v>0.625</v>
      </c>
      <c r="L1" s="10" t="n">
        <v>0.6666666666666666</v>
      </c>
      <c r="M1" s="10" t="n">
        <v>0.7083333333333334</v>
      </c>
      <c r="N1" s="10" t="n">
        <v>0.75</v>
      </c>
      <c r="O1" s="10" t="n">
        <v>0.7916666666666666</v>
      </c>
      <c r="P1" s="1" t="inlineStr">
        <is>
          <t>TURNOS DEL DÍA</t>
        </is>
      </c>
    </row>
    <row r="2">
      <c r="A2" s="11" t="n">
        <v>46296</v>
      </c>
      <c r="B2" s="3" t="inlineStr">
        <is>
          <t>Jueves</t>
        </is>
      </c>
      <c r="C2" s="3" t="inlineStr">
        <is>
          <t>HÁBIL</t>
        </is>
      </c>
      <c r="D2" s="3">
        <f>COUNTIFS(PLANIFICACION_MENSUAL!$E$2:$E$433,$A2,PLANIFICACION_MENSUAL!$J$2:$J$433,"&lt;="&amp;(D$1+0.0001),PLANIFICACION_MENSUAL!$K$2:$K$433,"&gt;"&amp;(D$1+0.0001))</f>
        <v/>
      </c>
      <c r="E2" s="3">
        <f>COUNTIFS(PLANIFICACION_MENSUAL!$E$2:$E$433,$A2,PLANIFICACION_MENSUAL!$J$2:$J$433,"&lt;="&amp;(E$1+0.0001),PLANIFICACION_MENSUAL!$K$2:$K$433,"&gt;"&amp;(E$1+0.0001))</f>
        <v/>
      </c>
      <c r="F2" s="3">
        <f>COUNTIFS(PLANIFICACION_MENSUAL!$E$2:$E$433,$A2,PLANIFICACION_MENSUAL!$J$2:$J$433,"&lt;="&amp;(F$1+0.0001),PLANIFICACION_MENSUAL!$K$2:$K$433,"&gt;"&amp;(F$1+0.0001))</f>
        <v/>
      </c>
      <c r="G2" s="3">
        <f>COUNTIFS(PLANIFICACION_MENSUAL!$E$2:$E$433,$A2,PLANIFICACION_MENSUAL!$J$2:$J$433,"&lt;="&amp;(G$1+0.0001),PLANIFICACION_MENSUAL!$K$2:$K$433,"&gt;"&amp;(G$1+0.0001))</f>
        <v/>
      </c>
      <c r="H2" s="3">
        <f>COUNTIFS(PLANIFICACION_MENSUAL!$E$2:$E$433,$A2,PLANIFICACION_MENSUAL!$J$2:$J$433,"&lt;="&amp;(H$1+0.0001),PLANIFICACION_MENSUAL!$K$2:$K$433,"&gt;"&amp;(H$1+0.0001))</f>
        <v/>
      </c>
      <c r="I2" s="3">
        <f>COUNTIFS(PLANIFICACION_MENSUAL!$E$2:$E$433,$A2,PLANIFICACION_MENSUAL!$J$2:$J$433,"&lt;="&amp;(I$1+0.0001),PLANIFICACION_MENSUAL!$K$2:$K$433,"&gt;"&amp;(I$1+0.0001))</f>
        <v/>
      </c>
      <c r="J2" s="3">
        <f>COUNTIFS(PLANIFICACION_MENSUAL!$E$2:$E$433,$A2,PLANIFICACION_MENSUAL!$J$2:$J$433,"&lt;="&amp;(J$1+0.0001),PLANIFICACION_MENSUAL!$K$2:$K$433,"&gt;"&amp;(J$1+0.0001))</f>
        <v/>
      </c>
      <c r="K2" s="3">
        <f>COUNTIFS(PLANIFICACION_MENSUAL!$E$2:$E$433,$A2,PLANIFICACION_MENSUAL!$J$2:$J$433,"&lt;="&amp;(K$1+0.0001),PLANIFICACION_MENSUAL!$K$2:$K$433,"&gt;"&amp;(K$1+0.0001))</f>
        <v/>
      </c>
      <c r="L2" s="3">
        <f>COUNTIFS(PLANIFICACION_MENSUAL!$E$2:$E$433,$A2,PLANIFICACION_MENSUAL!$J$2:$J$433,"&lt;="&amp;(L$1+0.0001),PLANIFICACION_MENSUAL!$K$2:$K$433,"&gt;"&amp;(L$1+0.0001))</f>
        <v/>
      </c>
      <c r="M2" s="3">
        <f>COUNTIFS(PLANIFICACION_MENSUAL!$E$2:$E$433,$A2,PLANIFICACION_MENSUAL!$J$2:$J$433,"&lt;="&amp;(M$1+0.0001),PLANIFICACION_MENSUAL!$K$2:$K$433,"&gt;"&amp;(M$1+0.0001))</f>
        <v/>
      </c>
      <c r="N2" s="3">
        <f>COUNTIFS(PLANIFICACION_MENSUAL!$E$2:$E$433,$A2,PLANIFICACION_MENSUAL!$J$2:$J$433,"&lt;="&amp;(N$1+0.0001),PLANIFICACION_MENSUAL!$K$2:$K$433,"&gt;"&amp;(N$1+0.0001))</f>
        <v/>
      </c>
      <c r="O2" s="3">
        <f>COUNTIFS(PLANIFICACION_MENSUAL!$E$2:$E$433,$A2,PLANIFICACION_MENSUAL!$J$2:$J$433,"&lt;="&amp;(O$1+0.0001),PLANIFICACION_MENSUAL!$K$2:$K$433,"&gt;"&amp;(O$1+0.0001))</f>
        <v/>
      </c>
      <c r="P2" s="3">
        <f>COUNTIFS(PLANIFICACION_MENSUAL!$E$2:$E$433,$A2,PLANIFICACION_MENSUAL!$I$2:$I$433,"TRABAJA")</f>
        <v/>
      </c>
    </row>
    <row r="3">
      <c r="A3" s="11" t="n">
        <v>46297</v>
      </c>
      <c r="B3" s="3" t="inlineStr">
        <is>
          <t>Viernes</t>
        </is>
      </c>
      <c r="C3" s="3" t="inlineStr">
        <is>
          <t>HÁBIL</t>
        </is>
      </c>
      <c r="D3" s="3">
        <f>COUNTIFS(PLANIFICACION_MENSUAL!$E$2:$E$433,$A3,PLANIFICACION_MENSUAL!$J$2:$J$433,"&lt;="&amp;(D$1+0.0001),PLANIFICACION_MENSUAL!$K$2:$K$433,"&gt;"&amp;(D$1+0.0001))</f>
        <v/>
      </c>
      <c r="E3" s="3">
        <f>COUNTIFS(PLANIFICACION_MENSUAL!$E$2:$E$433,$A3,PLANIFICACION_MENSUAL!$J$2:$J$433,"&lt;="&amp;(E$1+0.0001),PLANIFICACION_MENSUAL!$K$2:$K$433,"&gt;"&amp;(E$1+0.0001))</f>
        <v/>
      </c>
      <c r="F3" s="3">
        <f>COUNTIFS(PLANIFICACION_MENSUAL!$E$2:$E$433,$A3,PLANIFICACION_MENSUAL!$J$2:$J$433,"&lt;="&amp;(F$1+0.0001),PLANIFICACION_MENSUAL!$K$2:$K$433,"&gt;"&amp;(F$1+0.0001))</f>
        <v/>
      </c>
      <c r="G3" s="3">
        <f>COUNTIFS(PLANIFICACION_MENSUAL!$E$2:$E$433,$A3,PLANIFICACION_MENSUAL!$J$2:$J$433,"&lt;="&amp;(G$1+0.0001),PLANIFICACION_MENSUAL!$K$2:$K$433,"&gt;"&amp;(G$1+0.0001))</f>
        <v/>
      </c>
      <c r="H3" s="3">
        <f>COUNTIFS(PLANIFICACION_MENSUAL!$E$2:$E$433,$A3,PLANIFICACION_MENSUAL!$J$2:$J$433,"&lt;="&amp;(H$1+0.0001),PLANIFICACION_MENSUAL!$K$2:$K$433,"&gt;"&amp;(H$1+0.0001))</f>
        <v/>
      </c>
      <c r="I3" s="3">
        <f>COUNTIFS(PLANIFICACION_MENSUAL!$E$2:$E$433,$A3,PLANIFICACION_MENSUAL!$J$2:$J$433,"&lt;="&amp;(I$1+0.0001),PLANIFICACION_MENSUAL!$K$2:$K$433,"&gt;"&amp;(I$1+0.0001))</f>
        <v/>
      </c>
      <c r="J3" s="3">
        <f>COUNTIFS(PLANIFICACION_MENSUAL!$E$2:$E$433,$A3,PLANIFICACION_MENSUAL!$J$2:$J$433,"&lt;="&amp;(J$1+0.0001),PLANIFICACION_MENSUAL!$K$2:$K$433,"&gt;"&amp;(J$1+0.0001))</f>
        <v/>
      </c>
      <c r="K3" s="3">
        <f>COUNTIFS(PLANIFICACION_MENSUAL!$E$2:$E$433,$A3,PLANIFICACION_MENSUAL!$J$2:$J$433,"&lt;="&amp;(K$1+0.0001),PLANIFICACION_MENSUAL!$K$2:$K$433,"&gt;"&amp;(K$1+0.0001))</f>
        <v/>
      </c>
      <c r="L3" s="3">
        <f>COUNTIFS(PLANIFICACION_MENSUAL!$E$2:$E$433,$A3,PLANIFICACION_MENSUAL!$J$2:$J$433,"&lt;="&amp;(L$1+0.0001),PLANIFICACION_MENSUAL!$K$2:$K$433,"&gt;"&amp;(L$1+0.0001))</f>
        <v/>
      </c>
      <c r="M3" s="3">
        <f>COUNTIFS(PLANIFICACION_MENSUAL!$E$2:$E$433,$A3,PLANIFICACION_MENSUAL!$J$2:$J$433,"&lt;="&amp;(M$1+0.0001),PLANIFICACION_MENSUAL!$K$2:$K$433,"&gt;"&amp;(M$1+0.0001))</f>
        <v/>
      </c>
      <c r="N3" s="3">
        <f>COUNTIFS(PLANIFICACION_MENSUAL!$E$2:$E$433,$A3,PLANIFICACION_MENSUAL!$J$2:$J$433,"&lt;="&amp;(N$1+0.0001),PLANIFICACION_MENSUAL!$K$2:$K$433,"&gt;"&amp;(N$1+0.0001))</f>
        <v/>
      </c>
      <c r="O3" s="3">
        <f>COUNTIFS(PLANIFICACION_MENSUAL!$E$2:$E$433,$A3,PLANIFICACION_MENSUAL!$J$2:$J$433,"&lt;="&amp;(O$1+0.0001),PLANIFICACION_MENSUAL!$K$2:$K$433,"&gt;"&amp;(O$1+0.0001))</f>
        <v/>
      </c>
      <c r="P3" s="3">
        <f>COUNTIFS(PLANIFICACION_MENSUAL!$E$2:$E$433,$A3,PLANIFICACION_MENSUAL!$I$2:$I$433,"TRABAJA")</f>
        <v/>
      </c>
    </row>
    <row r="4">
      <c r="A4" s="11" t="n">
        <v>46298</v>
      </c>
      <c r="B4" s="3" t="inlineStr">
        <is>
          <t>Sábado</t>
        </is>
      </c>
      <c r="C4" s="3" t="inlineStr">
        <is>
          <t>SÁBADO</t>
        </is>
      </c>
      <c r="D4" s="3">
        <f>COUNTIFS(PLANIFICACION_MENSUAL!$E$2:$E$433,$A4,PLANIFICACION_MENSUAL!$J$2:$J$433,"&lt;="&amp;(D$1+0.0001),PLANIFICACION_MENSUAL!$K$2:$K$433,"&gt;"&amp;(D$1+0.0001))</f>
        <v/>
      </c>
      <c r="E4" s="3">
        <f>COUNTIFS(PLANIFICACION_MENSUAL!$E$2:$E$433,$A4,PLANIFICACION_MENSUAL!$J$2:$J$433,"&lt;="&amp;(E$1+0.0001),PLANIFICACION_MENSUAL!$K$2:$K$433,"&gt;"&amp;(E$1+0.0001))</f>
        <v/>
      </c>
      <c r="F4" s="3">
        <f>COUNTIFS(PLANIFICACION_MENSUAL!$E$2:$E$433,$A4,PLANIFICACION_MENSUAL!$J$2:$J$433,"&lt;="&amp;(F$1+0.0001),PLANIFICACION_MENSUAL!$K$2:$K$433,"&gt;"&amp;(F$1+0.0001))</f>
        <v/>
      </c>
      <c r="G4" s="3">
        <f>COUNTIFS(PLANIFICACION_MENSUAL!$E$2:$E$433,$A4,PLANIFICACION_MENSUAL!$J$2:$J$433,"&lt;="&amp;(G$1+0.0001),PLANIFICACION_MENSUAL!$K$2:$K$433,"&gt;"&amp;(G$1+0.0001))</f>
        <v/>
      </c>
      <c r="H4" s="3">
        <f>COUNTIFS(PLANIFICACION_MENSUAL!$E$2:$E$433,$A4,PLANIFICACION_MENSUAL!$J$2:$J$433,"&lt;="&amp;(H$1+0.0001),PLANIFICACION_MENSUAL!$K$2:$K$433,"&gt;"&amp;(H$1+0.0001))</f>
        <v/>
      </c>
      <c r="I4" s="3">
        <f>COUNTIFS(PLANIFICACION_MENSUAL!$E$2:$E$433,$A4,PLANIFICACION_MENSUAL!$J$2:$J$433,"&lt;="&amp;(I$1+0.0001),PLANIFICACION_MENSUAL!$K$2:$K$433,"&gt;"&amp;(I$1+0.0001))</f>
        <v/>
      </c>
      <c r="J4" s="3">
        <f>COUNTIFS(PLANIFICACION_MENSUAL!$E$2:$E$433,$A4,PLANIFICACION_MENSUAL!$J$2:$J$433,"&lt;="&amp;(J$1+0.0001),PLANIFICACION_MENSUAL!$K$2:$K$433,"&gt;"&amp;(J$1+0.0001))</f>
        <v/>
      </c>
      <c r="K4" s="3">
        <f>COUNTIFS(PLANIFICACION_MENSUAL!$E$2:$E$433,$A4,PLANIFICACION_MENSUAL!$J$2:$J$433,"&lt;="&amp;(K$1+0.0001),PLANIFICACION_MENSUAL!$K$2:$K$433,"&gt;"&amp;(K$1+0.0001))</f>
        <v/>
      </c>
      <c r="L4" s="3">
        <f>COUNTIFS(PLANIFICACION_MENSUAL!$E$2:$E$433,$A4,PLANIFICACION_MENSUAL!$J$2:$J$433,"&lt;="&amp;(L$1+0.0001),PLANIFICACION_MENSUAL!$K$2:$K$433,"&gt;"&amp;(L$1+0.0001))</f>
        <v/>
      </c>
      <c r="M4" s="3">
        <f>COUNTIFS(PLANIFICACION_MENSUAL!$E$2:$E$433,$A4,PLANIFICACION_MENSUAL!$J$2:$J$433,"&lt;="&amp;(M$1+0.0001),PLANIFICACION_MENSUAL!$K$2:$K$433,"&gt;"&amp;(M$1+0.0001))</f>
        <v/>
      </c>
      <c r="N4" s="3">
        <f>COUNTIFS(PLANIFICACION_MENSUAL!$E$2:$E$433,$A4,PLANIFICACION_MENSUAL!$J$2:$J$433,"&lt;="&amp;(N$1+0.0001),PLANIFICACION_MENSUAL!$K$2:$K$433,"&gt;"&amp;(N$1+0.0001))</f>
        <v/>
      </c>
      <c r="O4" s="3">
        <f>COUNTIFS(PLANIFICACION_MENSUAL!$E$2:$E$433,$A4,PLANIFICACION_MENSUAL!$J$2:$J$433,"&lt;="&amp;(O$1+0.0001),PLANIFICACION_MENSUAL!$K$2:$K$433,"&gt;"&amp;(O$1+0.0001))</f>
        <v/>
      </c>
      <c r="P4" s="3">
        <f>COUNTIFS(PLANIFICACION_MENSUAL!$E$2:$E$433,$A4,PLANIFICACION_MENSUAL!$I$2:$I$433,"TRABAJA")</f>
        <v/>
      </c>
    </row>
    <row r="5">
      <c r="A5" s="11" t="n">
        <v>46300</v>
      </c>
      <c r="B5" s="3" t="inlineStr">
        <is>
          <t>Lunes</t>
        </is>
      </c>
      <c r="C5" s="3" t="inlineStr">
        <is>
          <t>HÁBIL</t>
        </is>
      </c>
      <c r="D5" s="3">
        <f>COUNTIFS(PLANIFICACION_MENSUAL!$E$2:$E$433,$A5,PLANIFICACION_MENSUAL!$J$2:$J$433,"&lt;="&amp;(D$1+0.0001),PLANIFICACION_MENSUAL!$K$2:$K$433,"&gt;"&amp;(D$1+0.0001))</f>
        <v/>
      </c>
      <c r="E5" s="3">
        <f>COUNTIFS(PLANIFICACION_MENSUAL!$E$2:$E$433,$A5,PLANIFICACION_MENSUAL!$J$2:$J$433,"&lt;="&amp;(E$1+0.0001),PLANIFICACION_MENSUAL!$K$2:$K$433,"&gt;"&amp;(E$1+0.0001))</f>
        <v/>
      </c>
      <c r="F5" s="3">
        <f>COUNTIFS(PLANIFICACION_MENSUAL!$E$2:$E$433,$A5,PLANIFICACION_MENSUAL!$J$2:$J$433,"&lt;="&amp;(F$1+0.0001),PLANIFICACION_MENSUAL!$K$2:$K$433,"&gt;"&amp;(F$1+0.0001))</f>
        <v/>
      </c>
      <c r="G5" s="3">
        <f>COUNTIFS(PLANIFICACION_MENSUAL!$E$2:$E$433,$A5,PLANIFICACION_MENSUAL!$J$2:$J$433,"&lt;="&amp;(G$1+0.0001),PLANIFICACION_MENSUAL!$K$2:$K$433,"&gt;"&amp;(G$1+0.0001))</f>
        <v/>
      </c>
      <c r="H5" s="3">
        <f>COUNTIFS(PLANIFICACION_MENSUAL!$E$2:$E$433,$A5,PLANIFICACION_MENSUAL!$J$2:$J$433,"&lt;="&amp;(H$1+0.0001),PLANIFICACION_MENSUAL!$K$2:$K$433,"&gt;"&amp;(H$1+0.0001))</f>
        <v/>
      </c>
      <c r="I5" s="3">
        <f>COUNTIFS(PLANIFICACION_MENSUAL!$E$2:$E$433,$A5,PLANIFICACION_MENSUAL!$J$2:$J$433,"&lt;="&amp;(I$1+0.0001),PLANIFICACION_MENSUAL!$K$2:$K$433,"&gt;"&amp;(I$1+0.0001))</f>
        <v/>
      </c>
      <c r="J5" s="3">
        <f>COUNTIFS(PLANIFICACION_MENSUAL!$E$2:$E$433,$A5,PLANIFICACION_MENSUAL!$J$2:$J$433,"&lt;="&amp;(J$1+0.0001),PLANIFICACION_MENSUAL!$K$2:$K$433,"&gt;"&amp;(J$1+0.0001))</f>
        <v/>
      </c>
      <c r="K5" s="3">
        <f>COUNTIFS(PLANIFICACION_MENSUAL!$E$2:$E$433,$A5,PLANIFICACION_MENSUAL!$J$2:$J$433,"&lt;="&amp;(K$1+0.0001),PLANIFICACION_MENSUAL!$K$2:$K$433,"&gt;"&amp;(K$1+0.0001))</f>
        <v/>
      </c>
      <c r="L5" s="3">
        <f>COUNTIFS(PLANIFICACION_MENSUAL!$E$2:$E$433,$A5,PLANIFICACION_MENSUAL!$J$2:$J$433,"&lt;="&amp;(L$1+0.0001),PLANIFICACION_MENSUAL!$K$2:$K$433,"&gt;"&amp;(L$1+0.0001))</f>
        <v/>
      </c>
      <c r="M5" s="3">
        <f>COUNTIFS(PLANIFICACION_MENSUAL!$E$2:$E$433,$A5,PLANIFICACION_MENSUAL!$J$2:$J$433,"&lt;="&amp;(M$1+0.0001),PLANIFICACION_MENSUAL!$K$2:$K$433,"&gt;"&amp;(M$1+0.0001))</f>
        <v/>
      </c>
      <c r="N5" s="3">
        <f>COUNTIFS(PLANIFICACION_MENSUAL!$E$2:$E$433,$A5,PLANIFICACION_MENSUAL!$J$2:$J$433,"&lt;="&amp;(N$1+0.0001),PLANIFICACION_MENSUAL!$K$2:$K$433,"&gt;"&amp;(N$1+0.0001))</f>
        <v/>
      </c>
      <c r="O5" s="3">
        <f>COUNTIFS(PLANIFICACION_MENSUAL!$E$2:$E$433,$A5,PLANIFICACION_MENSUAL!$J$2:$J$433,"&lt;="&amp;(O$1+0.0001),PLANIFICACION_MENSUAL!$K$2:$K$433,"&gt;"&amp;(O$1+0.0001))</f>
        <v/>
      </c>
      <c r="P5" s="3">
        <f>COUNTIFS(PLANIFICACION_MENSUAL!$E$2:$E$433,$A5,PLANIFICACION_MENSUAL!$I$2:$I$433,"TRABAJA")</f>
        <v/>
      </c>
    </row>
    <row r="6">
      <c r="A6" s="11" t="n">
        <v>46301</v>
      </c>
      <c r="B6" s="3" t="inlineStr">
        <is>
          <t>Martes</t>
        </is>
      </c>
      <c r="C6" s="3" t="inlineStr">
        <is>
          <t>HÁBIL</t>
        </is>
      </c>
      <c r="D6" s="3">
        <f>COUNTIFS(PLANIFICACION_MENSUAL!$E$2:$E$433,$A6,PLANIFICACION_MENSUAL!$J$2:$J$433,"&lt;="&amp;(D$1+0.0001),PLANIFICACION_MENSUAL!$K$2:$K$433,"&gt;"&amp;(D$1+0.0001))</f>
        <v/>
      </c>
      <c r="E6" s="3">
        <f>COUNTIFS(PLANIFICACION_MENSUAL!$E$2:$E$433,$A6,PLANIFICACION_MENSUAL!$J$2:$J$433,"&lt;="&amp;(E$1+0.0001),PLANIFICACION_MENSUAL!$K$2:$K$433,"&gt;"&amp;(E$1+0.0001))</f>
        <v/>
      </c>
      <c r="F6" s="3">
        <f>COUNTIFS(PLANIFICACION_MENSUAL!$E$2:$E$433,$A6,PLANIFICACION_MENSUAL!$J$2:$J$433,"&lt;="&amp;(F$1+0.0001),PLANIFICACION_MENSUAL!$K$2:$K$433,"&gt;"&amp;(F$1+0.0001))</f>
        <v/>
      </c>
      <c r="G6" s="3">
        <f>COUNTIFS(PLANIFICACION_MENSUAL!$E$2:$E$433,$A6,PLANIFICACION_MENSUAL!$J$2:$J$433,"&lt;="&amp;(G$1+0.0001),PLANIFICACION_MENSUAL!$K$2:$K$433,"&gt;"&amp;(G$1+0.0001))</f>
        <v/>
      </c>
      <c r="H6" s="3">
        <f>COUNTIFS(PLANIFICACION_MENSUAL!$E$2:$E$433,$A6,PLANIFICACION_MENSUAL!$J$2:$J$433,"&lt;="&amp;(H$1+0.0001),PLANIFICACION_MENSUAL!$K$2:$K$433,"&gt;"&amp;(H$1+0.0001))</f>
        <v/>
      </c>
      <c r="I6" s="3">
        <f>COUNTIFS(PLANIFICACION_MENSUAL!$E$2:$E$433,$A6,PLANIFICACION_MENSUAL!$J$2:$J$433,"&lt;="&amp;(I$1+0.0001),PLANIFICACION_MENSUAL!$K$2:$K$433,"&gt;"&amp;(I$1+0.0001))</f>
        <v/>
      </c>
      <c r="J6" s="3">
        <f>COUNTIFS(PLANIFICACION_MENSUAL!$E$2:$E$433,$A6,PLANIFICACION_MENSUAL!$J$2:$J$433,"&lt;="&amp;(J$1+0.0001),PLANIFICACION_MENSUAL!$K$2:$K$433,"&gt;"&amp;(J$1+0.0001))</f>
        <v/>
      </c>
      <c r="K6" s="3">
        <f>COUNTIFS(PLANIFICACION_MENSUAL!$E$2:$E$433,$A6,PLANIFICACION_MENSUAL!$J$2:$J$433,"&lt;="&amp;(K$1+0.0001),PLANIFICACION_MENSUAL!$K$2:$K$433,"&gt;"&amp;(K$1+0.0001))</f>
        <v/>
      </c>
      <c r="L6" s="3">
        <f>COUNTIFS(PLANIFICACION_MENSUAL!$E$2:$E$433,$A6,PLANIFICACION_MENSUAL!$J$2:$J$433,"&lt;="&amp;(L$1+0.0001),PLANIFICACION_MENSUAL!$K$2:$K$433,"&gt;"&amp;(L$1+0.0001))</f>
        <v/>
      </c>
      <c r="M6" s="3">
        <f>COUNTIFS(PLANIFICACION_MENSUAL!$E$2:$E$433,$A6,PLANIFICACION_MENSUAL!$J$2:$J$433,"&lt;="&amp;(M$1+0.0001),PLANIFICACION_MENSUAL!$K$2:$K$433,"&gt;"&amp;(M$1+0.0001))</f>
        <v/>
      </c>
      <c r="N6" s="3">
        <f>COUNTIFS(PLANIFICACION_MENSUAL!$E$2:$E$433,$A6,PLANIFICACION_MENSUAL!$J$2:$J$433,"&lt;="&amp;(N$1+0.0001),PLANIFICACION_MENSUAL!$K$2:$K$433,"&gt;"&amp;(N$1+0.0001))</f>
        <v/>
      </c>
      <c r="O6" s="3">
        <f>COUNTIFS(PLANIFICACION_MENSUAL!$E$2:$E$433,$A6,PLANIFICACION_MENSUAL!$J$2:$J$433,"&lt;="&amp;(O$1+0.0001),PLANIFICACION_MENSUAL!$K$2:$K$433,"&gt;"&amp;(O$1+0.0001))</f>
        <v/>
      </c>
      <c r="P6" s="3">
        <f>COUNTIFS(PLANIFICACION_MENSUAL!$E$2:$E$433,$A6,PLANIFICACION_MENSUAL!$I$2:$I$433,"TRABAJA")</f>
        <v/>
      </c>
    </row>
    <row r="7">
      <c r="A7" s="11" t="n">
        <v>46302</v>
      </c>
      <c r="B7" s="3" t="inlineStr">
        <is>
          <t>Miércoles</t>
        </is>
      </c>
      <c r="C7" s="3" t="inlineStr">
        <is>
          <t>HÁBIL</t>
        </is>
      </c>
      <c r="D7" s="3">
        <f>COUNTIFS(PLANIFICACION_MENSUAL!$E$2:$E$433,$A7,PLANIFICACION_MENSUAL!$J$2:$J$433,"&lt;="&amp;(D$1+0.0001),PLANIFICACION_MENSUAL!$K$2:$K$433,"&gt;"&amp;(D$1+0.0001))</f>
        <v/>
      </c>
      <c r="E7" s="3">
        <f>COUNTIFS(PLANIFICACION_MENSUAL!$E$2:$E$433,$A7,PLANIFICACION_MENSUAL!$J$2:$J$433,"&lt;="&amp;(E$1+0.0001),PLANIFICACION_MENSUAL!$K$2:$K$433,"&gt;"&amp;(E$1+0.0001))</f>
        <v/>
      </c>
      <c r="F7" s="3">
        <f>COUNTIFS(PLANIFICACION_MENSUAL!$E$2:$E$433,$A7,PLANIFICACION_MENSUAL!$J$2:$J$433,"&lt;="&amp;(F$1+0.0001),PLANIFICACION_MENSUAL!$K$2:$K$433,"&gt;"&amp;(F$1+0.0001))</f>
        <v/>
      </c>
      <c r="G7" s="3">
        <f>COUNTIFS(PLANIFICACION_MENSUAL!$E$2:$E$433,$A7,PLANIFICACION_MENSUAL!$J$2:$J$433,"&lt;="&amp;(G$1+0.0001),PLANIFICACION_MENSUAL!$K$2:$K$433,"&gt;"&amp;(G$1+0.0001))</f>
        <v/>
      </c>
      <c r="H7" s="3">
        <f>COUNTIFS(PLANIFICACION_MENSUAL!$E$2:$E$433,$A7,PLANIFICACION_MENSUAL!$J$2:$J$433,"&lt;="&amp;(H$1+0.0001),PLANIFICACION_MENSUAL!$K$2:$K$433,"&gt;"&amp;(H$1+0.0001))</f>
        <v/>
      </c>
      <c r="I7" s="3">
        <f>COUNTIFS(PLANIFICACION_MENSUAL!$E$2:$E$433,$A7,PLANIFICACION_MENSUAL!$J$2:$J$433,"&lt;="&amp;(I$1+0.0001),PLANIFICACION_MENSUAL!$K$2:$K$433,"&gt;"&amp;(I$1+0.0001))</f>
        <v/>
      </c>
      <c r="J7" s="3">
        <f>COUNTIFS(PLANIFICACION_MENSUAL!$E$2:$E$433,$A7,PLANIFICACION_MENSUAL!$J$2:$J$433,"&lt;="&amp;(J$1+0.0001),PLANIFICACION_MENSUAL!$K$2:$K$433,"&gt;"&amp;(J$1+0.0001))</f>
        <v/>
      </c>
      <c r="K7" s="3">
        <f>COUNTIFS(PLANIFICACION_MENSUAL!$E$2:$E$433,$A7,PLANIFICACION_MENSUAL!$J$2:$J$433,"&lt;="&amp;(K$1+0.0001),PLANIFICACION_MENSUAL!$K$2:$K$433,"&gt;"&amp;(K$1+0.0001))</f>
        <v/>
      </c>
      <c r="L7" s="3">
        <f>COUNTIFS(PLANIFICACION_MENSUAL!$E$2:$E$433,$A7,PLANIFICACION_MENSUAL!$J$2:$J$433,"&lt;="&amp;(L$1+0.0001),PLANIFICACION_MENSUAL!$K$2:$K$433,"&gt;"&amp;(L$1+0.0001))</f>
        <v/>
      </c>
      <c r="M7" s="3">
        <f>COUNTIFS(PLANIFICACION_MENSUAL!$E$2:$E$433,$A7,PLANIFICACION_MENSUAL!$J$2:$J$433,"&lt;="&amp;(M$1+0.0001),PLANIFICACION_MENSUAL!$K$2:$K$433,"&gt;"&amp;(M$1+0.0001))</f>
        <v/>
      </c>
      <c r="N7" s="3">
        <f>COUNTIFS(PLANIFICACION_MENSUAL!$E$2:$E$433,$A7,PLANIFICACION_MENSUAL!$J$2:$J$433,"&lt;="&amp;(N$1+0.0001),PLANIFICACION_MENSUAL!$K$2:$K$433,"&gt;"&amp;(N$1+0.0001))</f>
        <v/>
      </c>
      <c r="O7" s="3">
        <f>COUNTIFS(PLANIFICACION_MENSUAL!$E$2:$E$433,$A7,PLANIFICACION_MENSUAL!$J$2:$J$433,"&lt;="&amp;(O$1+0.0001),PLANIFICACION_MENSUAL!$K$2:$K$433,"&gt;"&amp;(O$1+0.0001))</f>
        <v/>
      </c>
      <c r="P7" s="3">
        <f>COUNTIFS(PLANIFICACION_MENSUAL!$E$2:$E$433,$A7,PLANIFICACION_MENSUAL!$I$2:$I$433,"TRABAJA")</f>
        <v/>
      </c>
    </row>
    <row r="8">
      <c r="A8" s="11" t="n">
        <v>46303</v>
      </c>
      <c r="B8" s="3" t="inlineStr">
        <is>
          <t>Jueves</t>
        </is>
      </c>
      <c r="C8" s="3" t="inlineStr">
        <is>
          <t>HÁBIL</t>
        </is>
      </c>
      <c r="D8" s="3">
        <f>COUNTIFS(PLANIFICACION_MENSUAL!$E$2:$E$433,$A8,PLANIFICACION_MENSUAL!$J$2:$J$433,"&lt;="&amp;(D$1+0.0001),PLANIFICACION_MENSUAL!$K$2:$K$433,"&gt;"&amp;(D$1+0.0001))</f>
        <v/>
      </c>
      <c r="E8" s="3">
        <f>COUNTIFS(PLANIFICACION_MENSUAL!$E$2:$E$433,$A8,PLANIFICACION_MENSUAL!$J$2:$J$433,"&lt;="&amp;(E$1+0.0001),PLANIFICACION_MENSUAL!$K$2:$K$433,"&gt;"&amp;(E$1+0.0001))</f>
        <v/>
      </c>
      <c r="F8" s="3">
        <f>COUNTIFS(PLANIFICACION_MENSUAL!$E$2:$E$433,$A8,PLANIFICACION_MENSUAL!$J$2:$J$433,"&lt;="&amp;(F$1+0.0001),PLANIFICACION_MENSUAL!$K$2:$K$433,"&gt;"&amp;(F$1+0.0001))</f>
        <v/>
      </c>
      <c r="G8" s="3">
        <f>COUNTIFS(PLANIFICACION_MENSUAL!$E$2:$E$433,$A8,PLANIFICACION_MENSUAL!$J$2:$J$433,"&lt;="&amp;(G$1+0.0001),PLANIFICACION_MENSUAL!$K$2:$K$433,"&gt;"&amp;(G$1+0.0001))</f>
        <v/>
      </c>
      <c r="H8" s="3">
        <f>COUNTIFS(PLANIFICACION_MENSUAL!$E$2:$E$433,$A8,PLANIFICACION_MENSUAL!$J$2:$J$433,"&lt;="&amp;(H$1+0.0001),PLANIFICACION_MENSUAL!$K$2:$K$433,"&gt;"&amp;(H$1+0.0001))</f>
        <v/>
      </c>
      <c r="I8" s="3">
        <f>COUNTIFS(PLANIFICACION_MENSUAL!$E$2:$E$433,$A8,PLANIFICACION_MENSUAL!$J$2:$J$433,"&lt;="&amp;(I$1+0.0001),PLANIFICACION_MENSUAL!$K$2:$K$433,"&gt;"&amp;(I$1+0.0001))</f>
        <v/>
      </c>
      <c r="J8" s="3">
        <f>COUNTIFS(PLANIFICACION_MENSUAL!$E$2:$E$433,$A8,PLANIFICACION_MENSUAL!$J$2:$J$433,"&lt;="&amp;(J$1+0.0001),PLANIFICACION_MENSUAL!$K$2:$K$433,"&gt;"&amp;(J$1+0.0001))</f>
        <v/>
      </c>
      <c r="K8" s="3">
        <f>COUNTIFS(PLANIFICACION_MENSUAL!$E$2:$E$433,$A8,PLANIFICACION_MENSUAL!$J$2:$J$433,"&lt;="&amp;(K$1+0.0001),PLANIFICACION_MENSUAL!$K$2:$K$433,"&gt;"&amp;(K$1+0.0001))</f>
        <v/>
      </c>
      <c r="L8" s="3">
        <f>COUNTIFS(PLANIFICACION_MENSUAL!$E$2:$E$433,$A8,PLANIFICACION_MENSUAL!$J$2:$J$433,"&lt;="&amp;(L$1+0.0001),PLANIFICACION_MENSUAL!$K$2:$K$433,"&gt;"&amp;(L$1+0.0001))</f>
        <v/>
      </c>
      <c r="M8" s="3">
        <f>COUNTIFS(PLANIFICACION_MENSUAL!$E$2:$E$433,$A8,PLANIFICACION_MENSUAL!$J$2:$J$433,"&lt;="&amp;(M$1+0.0001),PLANIFICACION_MENSUAL!$K$2:$K$433,"&gt;"&amp;(M$1+0.0001))</f>
        <v/>
      </c>
      <c r="N8" s="3">
        <f>COUNTIFS(PLANIFICACION_MENSUAL!$E$2:$E$433,$A8,PLANIFICACION_MENSUAL!$J$2:$J$433,"&lt;="&amp;(N$1+0.0001),PLANIFICACION_MENSUAL!$K$2:$K$433,"&gt;"&amp;(N$1+0.0001))</f>
        <v/>
      </c>
      <c r="O8" s="3">
        <f>COUNTIFS(PLANIFICACION_MENSUAL!$E$2:$E$433,$A8,PLANIFICACION_MENSUAL!$J$2:$J$433,"&lt;="&amp;(O$1+0.0001),PLANIFICACION_MENSUAL!$K$2:$K$433,"&gt;"&amp;(O$1+0.0001))</f>
        <v/>
      </c>
      <c r="P8" s="3">
        <f>COUNTIFS(PLANIFICACION_MENSUAL!$E$2:$E$433,$A8,PLANIFICACION_MENSUAL!$I$2:$I$433,"TRABAJA")</f>
        <v/>
      </c>
    </row>
    <row r="9">
      <c r="A9" s="11" t="n">
        <v>46304</v>
      </c>
      <c r="B9" s="3" t="inlineStr">
        <is>
          <t>Viernes</t>
        </is>
      </c>
      <c r="C9" s="3" t="inlineStr">
        <is>
          <t>HÁBIL</t>
        </is>
      </c>
      <c r="D9" s="3">
        <f>COUNTIFS(PLANIFICACION_MENSUAL!$E$2:$E$433,$A9,PLANIFICACION_MENSUAL!$J$2:$J$433,"&lt;="&amp;(D$1+0.0001),PLANIFICACION_MENSUAL!$K$2:$K$433,"&gt;"&amp;(D$1+0.0001))</f>
        <v/>
      </c>
      <c r="E9" s="3">
        <f>COUNTIFS(PLANIFICACION_MENSUAL!$E$2:$E$433,$A9,PLANIFICACION_MENSUAL!$J$2:$J$433,"&lt;="&amp;(E$1+0.0001),PLANIFICACION_MENSUAL!$K$2:$K$433,"&gt;"&amp;(E$1+0.0001))</f>
        <v/>
      </c>
      <c r="F9" s="3">
        <f>COUNTIFS(PLANIFICACION_MENSUAL!$E$2:$E$433,$A9,PLANIFICACION_MENSUAL!$J$2:$J$433,"&lt;="&amp;(F$1+0.0001),PLANIFICACION_MENSUAL!$K$2:$K$433,"&gt;"&amp;(F$1+0.0001))</f>
        <v/>
      </c>
      <c r="G9" s="3">
        <f>COUNTIFS(PLANIFICACION_MENSUAL!$E$2:$E$433,$A9,PLANIFICACION_MENSUAL!$J$2:$J$433,"&lt;="&amp;(G$1+0.0001),PLANIFICACION_MENSUAL!$K$2:$K$433,"&gt;"&amp;(G$1+0.0001))</f>
        <v/>
      </c>
      <c r="H9" s="3">
        <f>COUNTIFS(PLANIFICACION_MENSUAL!$E$2:$E$433,$A9,PLANIFICACION_MENSUAL!$J$2:$J$433,"&lt;="&amp;(H$1+0.0001),PLANIFICACION_MENSUAL!$K$2:$K$433,"&gt;"&amp;(H$1+0.0001))</f>
        <v/>
      </c>
      <c r="I9" s="3">
        <f>COUNTIFS(PLANIFICACION_MENSUAL!$E$2:$E$433,$A9,PLANIFICACION_MENSUAL!$J$2:$J$433,"&lt;="&amp;(I$1+0.0001),PLANIFICACION_MENSUAL!$K$2:$K$433,"&gt;"&amp;(I$1+0.0001))</f>
        <v/>
      </c>
      <c r="J9" s="3">
        <f>COUNTIFS(PLANIFICACION_MENSUAL!$E$2:$E$433,$A9,PLANIFICACION_MENSUAL!$J$2:$J$433,"&lt;="&amp;(J$1+0.0001),PLANIFICACION_MENSUAL!$K$2:$K$433,"&gt;"&amp;(J$1+0.0001))</f>
        <v/>
      </c>
      <c r="K9" s="3">
        <f>COUNTIFS(PLANIFICACION_MENSUAL!$E$2:$E$433,$A9,PLANIFICACION_MENSUAL!$J$2:$J$433,"&lt;="&amp;(K$1+0.0001),PLANIFICACION_MENSUAL!$K$2:$K$433,"&gt;"&amp;(K$1+0.0001))</f>
        <v/>
      </c>
      <c r="L9" s="3">
        <f>COUNTIFS(PLANIFICACION_MENSUAL!$E$2:$E$433,$A9,PLANIFICACION_MENSUAL!$J$2:$J$433,"&lt;="&amp;(L$1+0.0001),PLANIFICACION_MENSUAL!$K$2:$K$433,"&gt;"&amp;(L$1+0.0001))</f>
        <v/>
      </c>
      <c r="M9" s="3">
        <f>COUNTIFS(PLANIFICACION_MENSUAL!$E$2:$E$433,$A9,PLANIFICACION_MENSUAL!$J$2:$J$433,"&lt;="&amp;(M$1+0.0001),PLANIFICACION_MENSUAL!$K$2:$K$433,"&gt;"&amp;(M$1+0.0001))</f>
        <v/>
      </c>
      <c r="N9" s="3">
        <f>COUNTIFS(PLANIFICACION_MENSUAL!$E$2:$E$433,$A9,PLANIFICACION_MENSUAL!$J$2:$J$433,"&lt;="&amp;(N$1+0.0001),PLANIFICACION_MENSUAL!$K$2:$K$433,"&gt;"&amp;(N$1+0.0001))</f>
        <v/>
      </c>
      <c r="O9" s="3">
        <f>COUNTIFS(PLANIFICACION_MENSUAL!$E$2:$E$433,$A9,PLANIFICACION_MENSUAL!$J$2:$J$433,"&lt;="&amp;(O$1+0.0001),PLANIFICACION_MENSUAL!$K$2:$K$433,"&gt;"&amp;(O$1+0.0001))</f>
        <v/>
      </c>
      <c r="P9" s="3">
        <f>COUNTIFS(PLANIFICACION_MENSUAL!$E$2:$E$433,$A9,PLANIFICACION_MENSUAL!$I$2:$I$433,"TRABAJA")</f>
        <v/>
      </c>
    </row>
    <row r="10">
      <c r="A10" s="11" t="n">
        <v>46305</v>
      </c>
      <c r="B10" s="3" t="inlineStr">
        <is>
          <t>Sábado</t>
        </is>
      </c>
      <c r="C10" s="3" t="inlineStr">
        <is>
          <t>SÁBADO</t>
        </is>
      </c>
      <c r="D10" s="3">
        <f>COUNTIFS(PLANIFICACION_MENSUAL!$E$2:$E$433,$A10,PLANIFICACION_MENSUAL!$J$2:$J$433,"&lt;="&amp;(D$1+0.0001),PLANIFICACION_MENSUAL!$K$2:$K$433,"&gt;"&amp;(D$1+0.0001))</f>
        <v/>
      </c>
      <c r="E10" s="3">
        <f>COUNTIFS(PLANIFICACION_MENSUAL!$E$2:$E$433,$A10,PLANIFICACION_MENSUAL!$J$2:$J$433,"&lt;="&amp;(E$1+0.0001),PLANIFICACION_MENSUAL!$K$2:$K$433,"&gt;"&amp;(E$1+0.0001))</f>
        <v/>
      </c>
      <c r="F10" s="3">
        <f>COUNTIFS(PLANIFICACION_MENSUAL!$E$2:$E$433,$A10,PLANIFICACION_MENSUAL!$J$2:$J$433,"&lt;="&amp;(F$1+0.0001),PLANIFICACION_MENSUAL!$K$2:$K$433,"&gt;"&amp;(F$1+0.0001))</f>
        <v/>
      </c>
      <c r="G10" s="3">
        <f>COUNTIFS(PLANIFICACION_MENSUAL!$E$2:$E$433,$A10,PLANIFICACION_MENSUAL!$J$2:$J$433,"&lt;="&amp;(G$1+0.0001),PLANIFICACION_MENSUAL!$K$2:$K$433,"&gt;"&amp;(G$1+0.0001))</f>
        <v/>
      </c>
      <c r="H10" s="3">
        <f>COUNTIFS(PLANIFICACION_MENSUAL!$E$2:$E$433,$A10,PLANIFICACION_MENSUAL!$J$2:$J$433,"&lt;="&amp;(H$1+0.0001),PLANIFICACION_MENSUAL!$K$2:$K$433,"&gt;"&amp;(H$1+0.0001))</f>
        <v/>
      </c>
      <c r="I10" s="3">
        <f>COUNTIFS(PLANIFICACION_MENSUAL!$E$2:$E$433,$A10,PLANIFICACION_MENSUAL!$J$2:$J$433,"&lt;="&amp;(I$1+0.0001),PLANIFICACION_MENSUAL!$K$2:$K$433,"&gt;"&amp;(I$1+0.0001))</f>
        <v/>
      </c>
      <c r="J10" s="3">
        <f>COUNTIFS(PLANIFICACION_MENSUAL!$E$2:$E$433,$A10,PLANIFICACION_MENSUAL!$J$2:$J$433,"&lt;="&amp;(J$1+0.0001),PLANIFICACION_MENSUAL!$K$2:$K$433,"&gt;"&amp;(J$1+0.0001))</f>
        <v/>
      </c>
      <c r="K10" s="3">
        <f>COUNTIFS(PLANIFICACION_MENSUAL!$E$2:$E$433,$A10,PLANIFICACION_MENSUAL!$J$2:$J$433,"&lt;="&amp;(K$1+0.0001),PLANIFICACION_MENSUAL!$K$2:$K$433,"&gt;"&amp;(K$1+0.0001))</f>
        <v/>
      </c>
      <c r="L10" s="3">
        <f>COUNTIFS(PLANIFICACION_MENSUAL!$E$2:$E$433,$A10,PLANIFICACION_MENSUAL!$J$2:$J$433,"&lt;="&amp;(L$1+0.0001),PLANIFICACION_MENSUAL!$K$2:$K$433,"&gt;"&amp;(L$1+0.0001))</f>
        <v/>
      </c>
      <c r="M10" s="3">
        <f>COUNTIFS(PLANIFICACION_MENSUAL!$E$2:$E$433,$A10,PLANIFICACION_MENSUAL!$J$2:$J$433,"&lt;="&amp;(M$1+0.0001),PLANIFICACION_MENSUAL!$K$2:$K$433,"&gt;"&amp;(M$1+0.0001))</f>
        <v/>
      </c>
      <c r="N10" s="3">
        <f>COUNTIFS(PLANIFICACION_MENSUAL!$E$2:$E$433,$A10,PLANIFICACION_MENSUAL!$J$2:$J$433,"&lt;="&amp;(N$1+0.0001),PLANIFICACION_MENSUAL!$K$2:$K$433,"&gt;"&amp;(N$1+0.0001))</f>
        <v/>
      </c>
      <c r="O10" s="3">
        <f>COUNTIFS(PLANIFICACION_MENSUAL!$E$2:$E$433,$A10,PLANIFICACION_MENSUAL!$J$2:$J$433,"&lt;="&amp;(O$1+0.0001),PLANIFICACION_MENSUAL!$K$2:$K$433,"&gt;"&amp;(O$1+0.0001))</f>
        <v/>
      </c>
      <c r="P10" s="3">
        <f>COUNTIFS(PLANIFICACION_MENSUAL!$E$2:$E$433,$A10,PLANIFICACION_MENSUAL!$I$2:$I$433,"TRABAJA")</f>
        <v/>
      </c>
    </row>
    <row r="11">
      <c r="A11" s="11" t="n">
        <v>46307</v>
      </c>
      <c r="B11" s="3" t="inlineStr">
        <is>
          <t>Lunes</t>
        </is>
      </c>
      <c r="C11" s="3" t="inlineStr">
        <is>
          <t>FERIADO</t>
        </is>
      </c>
      <c r="D11" s="3">
        <f>COUNTIFS(PLANIFICACION_MENSUAL!$E$2:$E$433,$A11,PLANIFICACION_MENSUAL!$J$2:$J$433,"&lt;="&amp;(D$1+0.0001),PLANIFICACION_MENSUAL!$K$2:$K$433,"&gt;"&amp;(D$1+0.0001))</f>
        <v/>
      </c>
      <c r="E11" s="3">
        <f>COUNTIFS(PLANIFICACION_MENSUAL!$E$2:$E$433,$A11,PLANIFICACION_MENSUAL!$J$2:$J$433,"&lt;="&amp;(E$1+0.0001),PLANIFICACION_MENSUAL!$K$2:$K$433,"&gt;"&amp;(E$1+0.0001))</f>
        <v/>
      </c>
      <c r="F11" s="3">
        <f>COUNTIFS(PLANIFICACION_MENSUAL!$E$2:$E$433,$A11,PLANIFICACION_MENSUAL!$J$2:$J$433,"&lt;="&amp;(F$1+0.0001),PLANIFICACION_MENSUAL!$K$2:$K$433,"&gt;"&amp;(F$1+0.0001))</f>
        <v/>
      </c>
      <c r="G11" s="3">
        <f>COUNTIFS(PLANIFICACION_MENSUAL!$E$2:$E$433,$A11,PLANIFICACION_MENSUAL!$J$2:$J$433,"&lt;="&amp;(G$1+0.0001),PLANIFICACION_MENSUAL!$K$2:$K$433,"&gt;"&amp;(G$1+0.0001))</f>
        <v/>
      </c>
      <c r="H11" s="3">
        <f>COUNTIFS(PLANIFICACION_MENSUAL!$E$2:$E$433,$A11,PLANIFICACION_MENSUAL!$J$2:$J$433,"&lt;="&amp;(H$1+0.0001),PLANIFICACION_MENSUAL!$K$2:$K$433,"&gt;"&amp;(H$1+0.0001))</f>
        <v/>
      </c>
      <c r="I11" s="3">
        <f>COUNTIFS(PLANIFICACION_MENSUAL!$E$2:$E$433,$A11,PLANIFICACION_MENSUAL!$J$2:$J$433,"&lt;="&amp;(I$1+0.0001),PLANIFICACION_MENSUAL!$K$2:$K$433,"&gt;"&amp;(I$1+0.0001))</f>
        <v/>
      </c>
      <c r="J11" s="3">
        <f>COUNTIFS(PLANIFICACION_MENSUAL!$E$2:$E$433,$A11,PLANIFICACION_MENSUAL!$J$2:$J$433,"&lt;="&amp;(J$1+0.0001),PLANIFICACION_MENSUAL!$K$2:$K$433,"&gt;"&amp;(J$1+0.0001))</f>
        <v/>
      </c>
      <c r="K11" s="3">
        <f>COUNTIFS(PLANIFICACION_MENSUAL!$E$2:$E$433,$A11,PLANIFICACION_MENSUAL!$J$2:$J$433,"&lt;="&amp;(K$1+0.0001),PLANIFICACION_MENSUAL!$K$2:$K$433,"&gt;"&amp;(K$1+0.0001))</f>
        <v/>
      </c>
      <c r="L11" s="3">
        <f>COUNTIFS(PLANIFICACION_MENSUAL!$E$2:$E$433,$A11,PLANIFICACION_MENSUAL!$J$2:$J$433,"&lt;="&amp;(L$1+0.0001),PLANIFICACION_MENSUAL!$K$2:$K$433,"&gt;"&amp;(L$1+0.0001))</f>
        <v/>
      </c>
      <c r="M11" s="3">
        <f>COUNTIFS(PLANIFICACION_MENSUAL!$E$2:$E$433,$A11,PLANIFICACION_MENSUAL!$J$2:$J$433,"&lt;="&amp;(M$1+0.0001),PLANIFICACION_MENSUAL!$K$2:$K$433,"&gt;"&amp;(M$1+0.0001))</f>
        <v/>
      </c>
      <c r="N11" s="3">
        <f>COUNTIFS(PLANIFICACION_MENSUAL!$E$2:$E$433,$A11,PLANIFICACION_MENSUAL!$J$2:$J$433,"&lt;="&amp;(N$1+0.0001),PLANIFICACION_MENSUAL!$K$2:$K$433,"&gt;"&amp;(N$1+0.0001))</f>
        <v/>
      </c>
      <c r="O11" s="3">
        <f>COUNTIFS(PLANIFICACION_MENSUAL!$E$2:$E$433,$A11,PLANIFICACION_MENSUAL!$J$2:$J$433,"&lt;="&amp;(O$1+0.0001),PLANIFICACION_MENSUAL!$K$2:$K$433,"&gt;"&amp;(O$1+0.0001))</f>
        <v/>
      </c>
      <c r="P11" s="3">
        <f>COUNTIFS(PLANIFICACION_MENSUAL!$E$2:$E$433,$A11,PLANIFICACION_MENSUAL!$I$2:$I$433,"TRABAJA")</f>
        <v/>
      </c>
    </row>
    <row r="12">
      <c r="A12" s="11" t="n">
        <v>46308</v>
      </c>
      <c r="B12" s="3" t="inlineStr">
        <is>
          <t>Martes</t>
        </is>
      </c>
      <c r="C12" s="3" t="inlineStr">
        <is>
          <t>HÁBIL</t>
        </is>
      </c>
      <c r="D12" s="3">
        <f>COUNTIFS(PLANIFICACION_MENSUAL!$E$2:$E$433,$A12,PLANIFICACION_MENSUAL!$J$2:$J$433,"&lt;="&amp;(D$1+0.0001),PLANIFICACION_MENSUAL!$K$2:$K$433,"&gt;"&amp;(D$1+0.0001))</f>
        <v/>
      </c>
      <c r="E12" s="3">
        <f>COUNTIFS(PLANIFICACION_MENSUAL!$E$2:$E$433,$A12,PLANIFICACION_MENSUAL!$J$2:$J$433,"&lt;="&amp;(E$1+0.0001),PLANIFICACION_MENSUAL!$K$2:$K$433,"&gt;"&amp;(E$1+0.0001))</f>
        <v/>
      </c>
      <c r="F12" s="3">
        <f>COUNTIFS(PLANIFICACION_MENSUAL!$E$2:$E$433,$A12,PLANIFICACION_MENSUAL!$J$2:$J$433,"&lt;="&amp;(F$1+0.0001),PLANIFICACION_MENSUAL!$K$2:$K$433,"&gt;"&amp;(F$1+0.0001))</f>
        <v/>
      </c>
      <c r="G12" s="3">
        <f>COUNTIFS(PLANIFICACION_MENSUAL!$E$2:$E$433,$A12,PLANIFICACION_MENSUAL!$J$2:$J$433,"&lt;="&amp;(G$1+0.0001),PLANIFICACION_MENSUAL!$K$2:$K$433,"&gt;"&amp;(G$1+0.0001))</f>
        <v/>
      </c>
      <c r="H12" s="3">
        <f>COUNTIFS(PLANIFICACION_MENSUAL!$E$2:$E$433,$A12,PLANIFICACION_MENSUAL!$J$2:$J$433,"&lt;="&amp;(H$1+0.0001),PLANIFICACION_MENSUAL!$K$2:$K$433,"&gt;"&amp;(H$1+0.0001))</f>
        <v/>
      </c>
      <c r="I12" s="3">
        <f>COUNTIFS(PLANIFICACION_MENSUAL!$E$2:$E$433,$A12,PLANIFICACION_MENSUAL!$J$2:$J$433,"&lt;="&amp;(I$1+0.0001),PLANIFICACION_MENSUAL!$K$2:$K$433,"&gt;"&amp;(I$1+0.0001))</f>
        <v/>
      </c>
      <c r="J12" s="3">
        <f>COUNTIFS(PLANIFICACION_MENSUAL!$E$2:$E$433,$A12,PLANIFICACION_MENSUAL!$J$2:$J$433,"&lt;="&amp;(J$1+0.0001),PLANIFICACION_MENSUAL!$K$2:$K$433,"&gt;"&amp;(J$1+0.0001))</f>
        <v/>
      </c>
      <c r="K12" s="3">
        <f>COUNTIFS(PLANIFICACION_MENSUAL!$E$2:$E$433,$A12,PLANIFICACION_MENSUAL!$J$2:$J$433,"&lt;="&amp;(K$1+0.0001),PLANIFICACION_MENSUAL!$K$2:$K$433,"&gt;"&amp;(K$1+0.0001))</f>
        <v/>
      </c>
      <c r="L12" s="3">
        <f>COUNTIFS(PLANIFICACION_MENSUAL!$E$2:$E$433,$A12,PLANIFICACION_MENSUAL!$J$2:$J$433,"&lt;="&amp;(L$1+0.0001),PLANIFICACION_MENSUAL!$K$2:$K$433,"&gt;"&amp;(L$1+0.0001))</f>
        <v/>
      </c>
      <c r="M12" s="3">
        <f>COUNTIFS(PLANIFICACION_MENSUAL!$E$2:$E$433,$A12,PLANIFICACION_MENSUAL!$J$2:$J$433,"&lt;="&amp;(M$1+0.0001),PLANIFICACION_MENSUAL!$K$2:$K$433,"&gt;"&amp;(M$1+0.0001))</f>
        <v/>
      </c>
      <c r="N12" s="3">
        <f>COUNTIFS(PLANIFICACION_MENSUAL!$E$2:$E$433,$A12,PLANIFICACION_MENSUAL!$J$2:$J$433,"&lt;="&amp;(N$1+0.0001),PLANIFICACION_MENSUAL!$K$2:$K$433,"&gt;"&amp;(N$1+0.0001))</f>
        <v/>
      </c>
      <c r="O12" s="3">
        <f>COUNTIFS(PLANIFICACION_MENSUAL!$E$2:$E$433,$A12,PLANIFICACION_MENSUAL!$J$2:$J$433,"&lt;="&amp;(O$1+0.0001),PLANIFICACION_MENSUAL!$K$2:$K$433,"&gt;"&amp;(O$1+0.0001))</f>
        <v/>
      </c>
      <c r="P12" s="3">
        <f>COUNTIFS(PLANIFICACION_MENSUAL!$E$2:$E$433,$A12,PLANIFICACION_MENSUAL!$I$2:$I$433,"TRABAJA")</f>
        <v/>
      </c>
    </row>
    <row r="13">
      <c r="A13" s="11" t="n">
        <v>46309</v>
      </c>
      <c r="B13" s="3" t="inlineStr">
        <is>
          <t>Miércoles</t>
        </is>
      </c>
      <c r="C13" s="3" t="inlineStr">
        <is>
          <t>HÁBIL</t>
        </is>
      </c>
      <c r="D13" s="3">
        <f>COUNTIFS(PLANIFICACION_MENSUAL!$E$2:$E$433,$A13,PLANIFICACION_MENSUAL!$J$2:$J$433,"&lt;="&amp;(D$1+0.0001),PLANIFICACION_MENSUAL!$K$2:$K$433,"&gt;"&amp;(D$1+0.0001))</f>
        <v/>
      </c>
      <c r="E13" s="3">
        <f>COUNTIFS(PLANIFICACION_MENSUAL!$E$2:$E$433,$A13,PLANIFICACION_MENSUAL!$J$2:$J$433,"&lt;="&amp;(E$1+0.0001),PLANIFICACION_MENSUAL!$K$2:$K$433,"&gt;"&amp;(E$1+0.0001))</f>
        <v/>
      </c>
      <c r="F13" s="3">
        <f>COUNTIFS(PLANIFICACION_MENSUAL!$E$2:$E$433,$A13,PLANIFICACION_MENSUAL!$J$2:$J$433,"&lt;="&amp;(F$1+0.0001),PLANIFICACION_MENSUAL!$K$2:$K$433,"&gt;"&amp;(F$1+0.0001))</f>
        <v/>
      </c>
      <c r="G13" s="3">
        <f>COUNTIFS(PLANIFICACION_MENSUAL!$E$2:$E$433,$A13,PLANIFICACION_MENSUAL!$J$2:$J$433,"&lt;="&amp;(G$1+0.0001),PLANIFICACION_MENSUAL!$K$2:$K$433,"&gt;"&amp;(G$1+0.0001))</f>
        <v/>
      </c>
      <c r="H13" s="3">
        <f>COUNTIFS(PLANIFICACION_MENSUAL!$E$2:$E$433,$A13,PLANIFICACION_MENSUAL!$J$2:$J$433,"&lt;="&amp;(H$1+0.0001),PLANIFICACION_MENSUAL!$K$2:$K$433,"&gt;"&amp;(H$1+0.0001))</f>
        <v/>
      </c>
      <c r="I13" s="3">
        <f>COUNTIFS(PLANIFICACION_MENSUAL!$E$2:$E$433,$A13,PLANIFICACION_MENSUAL!$J$2:$J$433,"&lt;="&amp;(I$1+0.0001),PLANIFICACION_MENSUAL!$K$2:$K$433,"&gt;"&amp;(I$1+0.0001))</f>
        <v/>
      </c>
      <c r="J13" s="3">
        <f>COUNTIFS(PLANIFICACION_MENSUAL!$E$2:$E$433,$A13,PLANIFICACION_MENSUAL!$J$2:$J$433,"&lt;="&amp;(J$1+0.0001),PLANIFICACION_MENSUAL!$K$2:$K$433,"&gt;"&amp;(J$1+0.0001))</f>
        <v/>
      </c>
      <c r="K13" s="3">
        <f>COUNTIFS(PLANIFICACION_MENSUAL!$E$2:$E$433,$A13,PLANIFICACION_MENSUAL!$J$2:$J$433,"&lt;="&amp;(K$1+0.0001),PLANIFICACION_MENSUAL!$K$2:$K$433,"&gt;"&amp;(K$1+0.0001))</f>
        <v/>
      </c>
      <c r="L13" s="3">
        <f>COUNTIFS(PLANIFICACION_MENSUAL!$E$2:$E$433,$A13,PLANIFICACION_MENSUAL!$J$2:$J$433,"&lt;="&amp;(L$1+0.0001),PLANIFICACION_MENSUAL!$K$2:$K$433,"&gt;"&amp;(L$1+0.0001))</f>
        <v/>
      </c>
      <c r="M13" s="3">
        <f>COUNTIFS(PLANIFICACION_MENSUAL!$E$2:$E$433,$A13,PLANIFICACION_MENSUAL!$J$2:$J$433,"&lt;="&amp;(M$1+0.0001),PLANIFICACION_MENSUAL!$K$2:$K$433,"&gt;"&amp;(M$1+0.0001))</f>
        <v/>
      </c>
      <c r="N13" s="3">
        <f>COUNTIFS(PLANIFICACION_MENSUAL!$E$2:$E$433,$A13,PLANIFICACION_MENSUAL!$J$2:$J$433,"&lt;="&amp;(N$1+0.0001),PLANIFICACION_MENSUAL!$K$2:$K$433,"&gt;"&amp;(N$1+0.0001))</f>
        <v/>
      </c>
      <c r="O13" s="3">
        <f>COUNTIFS(PLANIFICACION_MENSUAL!$E$2:$E$433,$A13,PLANIFICACION_MENSUAL!$J$2:$J$433,"&lt;="&amp;(O$1+0.0001),PLANIFICACION_MENSUAL!$K$2:$K$433,"&gt;"&amp;(O$1+0.0001))</f>
        <v/>
      </c>
      <c r="P13" s="3">
        <f>COUNTIFS(PLANIFICACION_MENSUAL!$E$2:$E$433,$A13,PLANIFICACION_MENSUAL!$I$2:$I$433,"TRABAJA")</f>
        <v/>
      </c>
    </row>
    <row r="14">
      <c r="A14" s="11" t="n">
        <v>46310</v>
      </c>
      <c r="B14" s="3" t="inlineStr">
        <is>
          <t>Jueves</t>
        </is>
      </c>
      <c r="C14" s="3" t="inlineStr">
        <is>
          <t>HÁBIL</t>
        </is>
      </c>
      <c r="D14" s="3">
        <f>COUNTIFS(PLANIFICACION_MENSUAL!$E$2:$E$433,$A14,PLANIFICACION_MENSUAL!$J$2:$J$433,"&lt;="&amp;(D$1+0.0001),PLANIFICACION_MENSUAL!$K$2:$K$433,"&gt;"&amp;(D$1+0.0001))</f>
        <v/>
      </c>
      <c r="E14" s="3">
        <f>COUNTIFS(PLANIFICACION_MENSUAL!$E$2:$E$433,$A14,PLANIFICACION_MENSUAL!$J$2:$J$433,"&lt;="&amp;(E$1+0.0001),PLANIFICACION_MENSUAL!$K$2:$K$433,"&gt;"&amp;(E$1+0.0001))</f>
        <v/>
      </c>
      <c r="F14" s="3">
        <f>COUNTIFS(PLANIFICACION_MENSUAL!$E$2:$E$433,$A14,PLANIFICACION_MENSUAL!$J$2:$J$433,"&lt;="&amp;(F$1+0.0001),PLANIFICACION_MENSUAL!$K$2:$K$433,"&gt;"&amp;(F$1+0.0001))</f>
        <v/>
      </c>
      <c r="G14" s="3">
        <f>COUNTIFS(PLANIFICACION_MENSUAL!$E$2:$E$433,$A14,PLANIFICACION_MENSUAL!$J$2:$J$433,"&lt;="&amp;(G$1+0.0001),PLANIFICACION_MENSUAL!$K$2:$K$433,"&gt;"&amp;(G$1+0.0001))</f>
        <v/>
      </c>
      <c r="H14" s="3">
        <f>COUNTIFS(PLANIFICACION_MENSUAL!$E$2:$E$433,$A14,PLANIFICACION_MENSUAL!$J$2:$J$433,"&lt;="&amp;(H$1+0.0001),PLANIFICACION_MENSUAL!$K$2:$K$433,"&gt;"&amp;(H$1+0.0001))</f>
        <v/>
      </c>
      <c r="I14" s="3">
        <f>COUNTIFS(PLANIFICACION_MENSUAL!$E$2:$E$433,$A14,PLANIFICACION_MENSUAL!$J$2:$J$433,"&lt;="&amp;(I$1+0.0001),PLANIFICACION_MENSUAL!$K$2:$K$433,"&gt;"&amp;(I$1+0.0001))</f>
        <v/>
      </c>
      <c r="J14" s="3">
        <f>COUNTIFS(PLANIFICACION_MENSUAL!$E$2:$E$433,$A14,PLANIFICACION_MENSUAL!$J$2:$J$433,"&lt;="&amp;(J$1+0.0001),PLANIFICACION_MENSUAL!$K$2:$K$433,"&gt;"&amp;(J$1+0.0001))</f>
        <v/>
      </c>
      <c r="K14" s="3">
        <f>COUNTIFS(PLANIFICACION_MENSUAL!$E$2:$E$433,$A14,PLANIFICACION_MENSUAL!$J$2:$J$433,"&lt;="&amp;(K$1+0.0001),PLANIFICACION_MENSUAL!$K$2:$K$433,"&gt;"&amp;(K$1+0.0001))</f>
        <v/>
      </c>
      <c r="L14" s="3">
        <f>COUNTIFS(PLANIFICACION_MENSUAL!$E$2:$E$433,$A14,PLANIFICACION_MENSUAL!$J$2:$J$433,"&lt;="&amp;(L$1+0.0001),PLANIFICACION_MENSUAL!$K$2:$K$433,"&gt;"&amp;(L$1+0.0001))</f>
        <v/>
      </c>
      <c r="M14" s="3">
        <f>COUNTIFS(PLANIFICACION_MENSUAL!$E$2:$E$433,$A14,PLANIFICACION_MENSUAL!$J$2:$J$433,"&lt;="&amp;(M$1+0.0001),PLANIFICACION_MENSUAL!$K$2:$K$433,"&gt;"&amp;(M$1+0.0001))</f>
        <v/>
      </c>
      <c r="N14" s="3">
        <f>COUNTIFS(PLANIFICACION_MENSUAL!$E$2:$E$433,$A14,PLANIFICACION_MENSUAL!$J$2:$J$433,"&lt;="&amp;(N$1+0.0001),PLANIFICACION_MENSUAL!$K$2:$K$433,"&gt;"&amp;(N$1+0.0001))</f>
        <v/>
      </c>
      <c r="O14" s="3">
        <f>COUNTIFS(PLANIFICACION_MENSUAL!$E$2:$E$433,$A14,PLANIFICACION_MENSUAL!$J$2:$J$433,"&lt;="&amp;(O$1+0.0001),PLANIFICACION_MENSUAL!$K$2:$K$433,"&gt;"&amp;(O$1+0.0001))</f>
        <v/>
      </c>
      <c r="P14" s="3">
        <f>COUNTIFS(PLANIFICACION_MENSUAL!$E$2:$E$433,$A14,PLANIFICACION_MENSUAL!$I$2:$I$433,"TRABAJA")</f>
        <v/>
      </c>
    </row>
    <row r="15">
      <c r="A15" s="11" t="n">
        <v>46311</v>
      </c>
      <c r="B15" s="3" t="inlineStr">
        <is>
          <t>Viernes</t>
        </is>
      </c>
      <c r="C15" s="3" t="inlineStr">
        <is>
          <t>HÁBIL</t>
        </is>
      </c>
      <c r="D15" s="3">
        <f>COUNTIFS(PLANIFICACION_MENSUAL!$E$2:$E$433,$A15,PLANIFICACION_MENSUAL!$J$2:$J$433,"&lt;="&amp;(D$1+0.0001),PLANIFICACION_MENSUAL!$K$2:$K$433,"&gt;"&amp;(D$1+0.0001))</f>
        <v/>
      </c>
      <c r="E15" s="3">
        <f>COUNTIFS(PLANIFICACION_MENSUAL!$E$2:$E$433,$A15,PLANIFICACION_MENSUAL!$J$2:$J$433,"&lt;="&amp;(E$1+0.0001),PLANIFICACION_MENSUAL!$K$2:$K$433,"&gt;"&amp;(E$1+0.0001))</f>
        <v/>
      </c>
      <c r="F15" s="3">
        <f>COUNTIFS(PLANIFICACION_MENSUAL!$E$2:$E$433,$A15,PLANIFICACION_MENSUAL!$J$2:$J$433,"&lt;="&amp;(F$1+0.0001),PLANIFICACION_MENSUAL!$K$2:$K$433,"&gt;"&amp;(F$1+0.0001))</f>
        <v/>
      </c>
      <c r="G15" s="3">
        <f>COUNTIFS(PLANIFICACION_MENSUAL!$E$2:$E$433,$A15,PLANIFICACION_MENSUAL!$J$2:$J$433,"&lt;="&amp;(G$1+0.0001),PLANIFICACION_MENSUAL!$K$2:$K$433,"&gt;"&amp;(G$1+0.0001))</f>
        <v/>
      </c>
      <c r="H15" s="3">
        <f>COUNTIFS(PLANIFICACION_MENSUAL!$E$2:$E$433,$A15,PLANIFICACION_MENSUAL!$J$2:$J$433,"&lt;="&amp;(H$1+0.0001),PLANIFICACION_MENSUAL!$K$2:$K$433,"&gt;"&amp;(H$1+0.0001))</f>
        <v/>
      </c>
      <c r="I15" s="3">
        <f>COUNTIFS(PLANIFICACION_MENSUAL!$E$2:$E$433,$A15,PLANIFICACION_MENSUAL!$J$2:$J$433,"&lt;="&amp;(I$1+0.0001),PLANIFICACION_MENSUAL!$K$2:$K$433,"&gt;"&amp;(I$1+0.0001))</f>
        <v/>
      </c>
      <c r="J15" s="3">
        <f>COUNTIFS(PLANIFICACION_MENSUAL!$E$2:$E$433,$A15,PLANIFICACION_MENSUAL!$J$2:$J$433,"&lt;="&amp;(J$1+0.0001),PLANIFICACION_MENSUAL!$K$2:$K$433,"&gt;"&amp;(J$1+0.0001))</f>
        <v/>
      </c>
      <c r="K15" s="3">
        <f>COUNTIFS(PLANIFICACION_MENSUAL!$E$2:$E$433,$A15,PLANIFICACION_MENSUAL!$J$2:$J$433,"&lt;="&amp;(K$1+0.0001),PLANIFICACION_MENSUAL!$K$2:$K$433,"&gt;"&amp;(K$1+0.0001))</f>
        <v/>
      </c>
      <c r="L15" s="3">
        <f>COUNTIFS(PLANIFICACION_MENSUAL!$E$2:$E$433,$A15,PLANIFICACION_MENSUAL!$J$2:$J$433,"&lt;="&amp;(L$1+0.0001),PLANIFICACION_MENSUAL!$K$2:$K$433,"&gt;"&amp;(L$1+0.0001))</f>
        <v/>
      </c>
      <c r="M15" s="3">
        <f>COUNTIFS(PLANIFICACION_MENSUAL!$E$2:$E$433,$A15,PLANIFICACION_MENSUAL!$J$2:$J$433,"&lt;="&amp;(M$1+0.0001),PLANIFICACION_MENSUAL!$K$2:$K$433,"&gt;"&amp;(M$1+0.0001))</f>
        <v/>
      </c>
      <c r="N15" s="3">
        <f>COUNTIFS(PLANIFICACION_MENSUAL!$E$2:$E$433,$A15,PLANIFICACION_MENSUAL!$J$2:$J$433,"&lt;="&amp;(N$1+0.0001),PLANIFICACION_MENSUAL!$K$2:$K$433,"&gt;"&amp;(N$1+0.0001))</f>
        <v/>
      </c>
      <c r="O15" s="3">
        <f>COUNTIFS(PLANIFICACION_MENSUAL!$E$2:$E$433,$A15,PLANIFICACION_MENSUAL!$J$2:$J$433,"&lt;="&amp;(O$1+0.0001),PLANIFICACION_MENSUAL!$K$2:$K$433,"&gt;"&amp;(O$1+0.0001))</f>
        <v/>
      </c>
      <c r="P15" s="3">
        <f>COUNTIFS(PLANIFICACION_MENSUAL!$E$2:$E$433,$A15,PLANIFICACION_MENSUAL!$I$2:$I$433,"TRABAJA")</f>
        <v/>
      </c>
    </row>
    <row r="16">
      <c r="A16" s="11" t="n">
        <v>46312</v>
      </c>
      <c r="B16" s="3" t="inlineStr">
        <is>
          <t>Sábado</t>
        </is>
      </c>
      <c r="C16" s="3" t="inlineStr">
        <is>
          <t>SÁBADO</t>
        </is>
      </c>
      <c r="D16" s="3">
        <f>COUNTIFS(PLANIFICACION_MENSUAL!$E$2:$E$433,$A16,PLANIFICACION_MENSUAL!$J$2:$J$433,"&lt;="&amp;(D$1+0.0001),PLANIFICACION_MENSUAL!$K$2:$K$433,"&gt;"&amp;(D$1+0.0001))</f>
        <v/>
      </c>
      <c r="E16" s="3">
        <f>COUNTIFS(PLANIFICACION_MENSUAL!$E$2:$E$433,$A16,PLANIFICACION_MENSUAL!$J$2:$J$433,"&lt;="&amp;(E$1+0.0001),PLANIFICACION_MENSUAL!$K$2:$K$433,"&gt;"&amp;(E$1+0.0001))</f>
        <v/>
      </c>
      <c r="F16" s="3">
        <f>COUNTIFS(PLANIFICACION_MENSUAL!$E$2:$E$433,$A16,PLANIFICACION_MENSUAL!$J$2:$J$433,"&lt;="&amp;(F$1+0.0001),PLANIFICACION_MENSUAL!$K$2:$K$433,"&gt;"&amp;(F$1+0.0001))</f>
        <v/>
      </c>
      <c r="G16" s="3">
        <f>COUNTIFS(PLANIFICACION_MENSUAL!$E$2:$E$433,$A16,PLANIFICACION_MENSUAL!$J$2:$J$433,"&lt;="&amp;(G$1+0.0001),PLANIFICACION_MENSUAL!$K$2:$K$433,"&gt;"&amp;(G$1+0.0001))</f>
        <v/>
      </c>
      <c r="H16" s="3">
        <f>COUNTIFS(PLANIFICACION_MENSUAL!$E$2:$E$433,$A16,PLANIFICACION_MENSUAL!$J$2:$J$433,"&lt;="&amp;(H$1+0.0001),PLANIFICACION_MENSUAL!$K$2:$K$433,"&gt;"&amp;(H$1+0.0001))</f>
        <v/>
      </c>
      <c r="I16" s="3">
        <f>COUNTIFS(PLANIFICACION_MENSUAL!$E$2:$E$433,$A16,PLANIFICACION_MENSUAL!$J$2:$J$433,"&lt;="&amp;(I$1+0.0001),PLANIFICACION_MENSUAL!$K$2:$K$433,"&gt;"&amp;(I$1+0.0001))</f>
        <v/>
      </c>
      <c r="J16" s="3">
        <f>COUNTIFS(PLANIFICACION_MENSUAL!$E$2:$E$433,$A16,PLANIFICACION_MENSUAL!$J$2:$J$433,"&lt;="&amp;(J$1+0.0001),PLANIFICACION_MENSUAL!$K$2:$K$433,"&gt;"&amp;(J$1+0.0001))</f>
        <v/>
      </c>
      <c r="K16" s="3">
        <f>COUNTIFS(PLANIFICACION_MENSUAL!$E$2:$E$433,$A16,PLANIFICACION_MENSUAL!$J$2:$J$433,"&lt;="&amp;(K$1+0.0001),PLANIFICACION_MENSUAL!$K$2:$K$433,"&gt;"&amp;(K$1+0.0001))</f>
        <v/>
      </c>
      <c r="L16" s="3">
        <f>COUNTIFS(PLANIFICACION_MENSUAL!$E$2:$E$433,$A16,PLANIFICACION_MENSUAL!$J$2:$J$433,"&lt;="&amp;(L$1+0.0001),PLANIFICACION_MENSUAL!$K$2:$K$433,"&gt;"&amp;(L$1+0.0001))</f>
        <v/>
      </c>
      <c r="M16" s="3">
        <f>COUNTIFS(PLANIFICACION_MENSUAL!$E$2:$E$433,$A16,PLANIFICACION_MENSUAL!$J$2:$J$433,"&lt;="&amp;(M$1+0.0001),PLANIFICACION_MENSUAL!$K$2:$K$433,"&gt;"&amp;(M$1+0.0001))</f>
        <v/>
      </c>
      <c r="N16" s="3">
        <f>COUNTIFS(PLANIFICACION_MENSUAL!$E$2:$E$433,$A16,PLANIFICACION_MENSUAL!$J$2:$J$433,"&lt;="&amp;(N$1+0.0001),PLANIFICACION_MENSUAL!$K$2:$K$433,"&gt;"&amp;(N$1+0.0001))</f>
        <v/>
      </c>
      <c r="O16" s="3">
        <f>COUNTIFS(PLANIFICACION_MENSUAL!$E$2:$E$433,$A16,PLANIFICACION_MENSUAL!$J$2:$J$433,"&lt;="&amp;(O$1+0.0001),PLANIFICACION_MENSUAL!$K$2:$K$433,"&gt;"&amp;(O$1+0.0001))</f>
        <v/>
      </c>
      <c r="P16" s="3">
        <f>COUNTIFS(PLANIFICACION_MENSUAL!$E$2:$E$433,$A16,PLANIFICACION_MENSUAL!$I$2:$I$433,"TRABAJA")</f>
        <v/>
      </c>
    </row>
    <row r="17">
      <c r="A17" s="11" t="n">
        <v>46314</v>
      </c>
      <c r="B17" s="3" t="inlineStr">
        <is>
          <t>Lunes</t>
        </is>
      </c>
      <c r="C17" s="3" t="inlineStr">
        <is>
          <t>HÁBIL</t>
        </is>
      </c>
      <c r="D17" s="3">
        <f>COUNTIFS(PLANIFICACION_MENSUAL!$E$2:$E$433,$A17,PLANIFICACION_MENSUAL!$J$2:$J$433,"&lt;="&amp;(D$1+0.0001),PLANIFICACION_MENSUAL!$K$2:$K$433,"&gt;"&amp;(D$1+0.0001))</f>
        <v/>
      </c>
      <c r="E17" s="3">
        <f>COUNTIFS(PLANIFICACION_MENSUAL!$E$2:$E$433,$A17,PLANIFICACION_MENSUAL!$J$2:$J$433,"&lt;="&amp;(E$1+0.0001),PLANIFICACION_MENSUAL!$K$2:$K$433,"&gt;"&amp;(E$1+0.0001))</f>
        <v/>
      </c>
      <c r="F17" s="3">
        <f>COUNTIFS(PLANIFICACION_MENSUAL!$E$2:$E$433,$A17,PLANIFICACION_MENSUAL!$J$2:$J$433,"&lt;="&amp;(F$1+0.0001),PLANIFICACION_MENSUAL!$K$2:$K$433,"&gt;"&amp;(F$1+0.0001))</f>
        <v/>
      </c>
      <c r="G17" s="3">
        <f>COUNTIFS(PLANIFICACION_MENSUAL!$E$2:$E$433,$A17,PLANIFICACION_MENSUAL!$J$2:$J$433,"&lt;="&amp;(G$1+0.0001),PLANIFICACION_MENSUAL!$K$2:$K$433,"&gt;"&amp;(G$1+0.0001))</f>
        <v/>
      </c>
      <c r="H17" s="3">
        <f>COUNTIFS(PLANIFICACION_MENSUAL!$E$2:$E$433,$A17,PLANIFICACION_MENSUAL!$J$2:$J$433,"&lt;="&amp;(H$1+0.0001),PLANIFICACION_MENSUAL!$K$2:$K$433,"&gt;"&amp;(H$1+0.0001))</f>
        <v/>
      </c>
      <c r="I17" s="3">
        <f>COUNTIFS(PLANIFICACION_MENSUAL!$E$2:$E$433,$A17,PLANIFICACION_MENSUAL!$J$2:$J$433,"&lt;="&amp;(I$1+0.0001),PLANIFICACION_MENSUAL!$K$2:$K$433,"&gt;"&amp;(I$1+0.0001))</f>
        <v/>
      </c>
      <c r="J17" s="3">
        <f>COUNTIFS(PLANIFICACION_MENSUAL!$E$2:$E$433,$A17,PLANIFICACION_MENSUAL!$J$2:$J$433,"&lt;="&amp;(J$1+0.0001),PLANIFICACION_MENSUAL!$K$2:$K$433,"&gt;"&amp;(J$1+0.0001))</f>
        <v/>
      </c>
      <c r="K17" s="3">
        <f>COUNTIFS(PLANIFICACION_MENSUAL!$E$2:$E$433,$A17,PLANIFICACION_MENSUAL!$J$2:$J$433,"&lt;="&amp;(K$1+0.0001),PLANIFICACION_MENSUAL!$K$2:$K$433,"&gt;"&amp;(K$1+0.0001))</f>
        <v/>
      </c>
      <c r="L17" s="3">
        <f>COUNTIFS(PLANIFICACION_MENSUAL!$E$2:$E$433,$A17,PLANIFICACION_MENSUAL!$J$2:$J$433,"&lt;="&amp;(L$1+0.0001),PLANIFICACION_MENSUAL!$K$2:$K$433,"&gt;"&amp;(L$1+0.0001))</f>
        <v/>
      </c>
      <c r="M17" s="3">
        <f>COUNTIFS(PLANIFICACION_MENSUAL!$E$2:$E$433,$A17,PLANIFICACION_MENSUAL!$J$2:$J$433,"&lt;="&amp;(M$1+0.0001),PLANIFICACION_MENSUAL!$K$2:$K$433,"&gt;"&amp;(M$1+0.0001))</f>
        <v/>
      </c>
      <c r="N17" s="3">
        <f>COUNTIFS(PLANIFICACION_MENSUAL!$E$2:$E$433,$A17,PLANIFICACION_MENSUAL!$J$2:$J$433,"&lt;="&amp;(N$1+0.0001),PLANIFICACION_MENSUAL!$K$2:$K$433,"&gt;"&amp;(N$1+0.0001))</f>
        <v/>
      </c>
      <c r="O17" s="3">
        <f>COUNTIFS(PLANIFICACION_MENSUAL!$E$2:$E$433,$A17,PLANIFICACION_MENSUAL!$J$2:$J$433,"&lt;="&amp;(O$1+0.0001),PLANIFICACION_MENSUAL!$K$2:$K$433,"&gt;"&amp;(O$1+0.0001))</f>
        <v/>
      </c>
      <c r="P17" s="3">
        <f>COUNTIFS(PLANIFICACION_MENSUAL!$E$2:$E$433,$A17,PLANIFICACION_MENSUAL!$I$2:$I$433,"TRABAJA")</f>
        <v/>
      </c>
    </row>
    <row r="18">
      <c r="A18" s="11" t="n">
        <v>46315</v>
      </c>
      <c r="B18" s="3" t="inlineStr">
        <is>
          <t>Martes</t>
        </is>
      </c>
      <c r="C18" s="3" t="inlineStr">
        <is>
          <t>HÁBIL</t>
        </is>
      </c>
      <c r="D18" s="3">
        <f>COUNTIFS(PLANIFICACION_MENSUAL!$E$2:$E$433,$A18,PLANIFICACION_MENSUAL!$J$2:$J$433,"&lt;="&amp;(D$1+0.0001),PLANIFICACION_MENSUAL!$K$2:$K$433,"&gt;"&amp;(D$1+0.0001))</f>
        <v/>
      </c>
      <c r="E18" s="3">
        <f>COUNTIFS(PLANIFICACION_MENSUAL!$E$2:$E$433,$A18,PLANIFICACION_MENSUAL!$J$2:$J$433,"&lt;="&amp;(E$1+0.0001),PLANIFICACION_MENSUAL!$K$2:$K$433,"&gt;"&amp;(E$1+0.0001))</f>
        <v/>
      </c>
      <c r="F18" s="3">
        <f>COUNTIFS(PLANIFICACION_MENSUAL!$E$2:$E$433,$A18,PLANIFICACION_MENSUAL!$J$2:$J$433,"&lt;="&amp;(F$1+0.0001),PLANIFICACION_MENSUAL!$K$2:$K$433,"&gt;"&amp;(F$1+0.0001))</f>
        <v/>
      </c>
      <c r="G18" s="3">
        <f>COUNTIFS(PLANIFICACION_MENSUAL!$E$2:$E$433,$A18,PLANIFICACION_MENSUAL!$J$2:$J$433,"&lt;="&amp;(G$1+0.0001),PLANIFICACION_MENSUAL!$K$2:$K$433,"&gt;"&amp;(G$1+0.0001))</f>
        <v/>
      </c>
      <c r="H18" s="3">
        <f>COUNTIFS(PLANIFICACION_MENSUAL!$E$2:$E$433,$A18,PLANIFICACION_MENSUAL!$J$2:$J$433,"&lt;="&amp;(H$1+0.0001),PLANIFICACION_MENSUAL!$K$2:$K$433,"&gt;"&amp;(H$1+0.0001))</f>
        <v/>
      </c>
      <c r="I18" s="3">
        <f>COUNTIFS(PLANIFICACION_MENSUAL!$E$2:$E$433,$A18,PLANIFICACION_MENSUAL!$J$2:$J$433,"&lt;="&amp;(I$1+0.0001),PLANIFICACION_MENSUAL!$K$2:$K$433,"&gt;"&amp;(I$1+0.0001))</f>
        <v/>
      </c>
      <c r="J18" s="3">
        <f>COUNTIFS(PLANIFICACION_MENSUAL!$E$2:$E$433,$A18,PLANIFICACION_MENSUAL!$J$2:$J$433,"&lt;="&amp;(J$1+0.0001),PLANIFICACION_MENSUAL!$K$2:$K$433,"&gt;"&amp;(J$1+0.0001))</f>
        <v/>
      </c>
      <c r="K18" s="3">
        <f>COUNTIFS(PLANIFICACION_MENSUAL!$E$2:$E$433,$A18,PLANIFICACION_MENSUAL!$J$2:$J$433,"&lt;="&amp;(K$1+0.0001),PLANIFICACION_MENSUAL!$K$2:$K$433,"&gt;"&amp;(K$1+0.0001))</f>
        <v/>
      </c>
      <c r="L18" s="3">
        <f>COUNTIFS(PLANIFICACION_MENSUAL!$E$2:$E$433,$A18,PLANIFICACION_MENSUAL!$J$2:$J$433,"&lt;="&amp;(L$1+0.0001),PLANIFICACION_MENSUAL!$K$2:$K$433,"&gt;"&amp;(L$1+0.0001))</f>
        <v/>
      </c>
      <c r="M18" s="3">
        <f>COUNTIFS(PLANIFICACION_MENSUAL!$E$2:$E$433,$A18,PLANIFICACION_MENSUAL!$J$2:$J$433,"&lt;="&amp;(M$1+0.0001),PLANIFICACION_MENSUAL!$K$2:$K$433,"&gt;"&amp;(M$1+0.0001))</f>
        <v/>
      </c>
      <c r="N18" s="3">
        <f>COUNTIFS(PLANIFICACION_MENSUAL!$E$2:$E$433,$A18,PLANIFICACION_MENSUAL!$J$2:$J$433,"&lt;="&amp;(N$1+0.0001),PLANIFICACION_MENSUAL!$K$2:$K$433,"&gt;"&amp;(N$1+0.0001))</f>
        <v/>
      </c>
      <c r="O18" s="3">
        <f>COUNTIFS(PLANIFICACION_MENSUAL!$E$2:$E$433,$A18,PLANIFICACION_MENSUAL!$J$2:$J$433,"&lt;="&amp;(O$1+0.0001),PLANIFICACION_MENSUAL!$K$2:$K$433,"&gt;"&amp;(O$1+0.0001))</f>
        <v/>
      </c>
      <c r="P18" s="3">
        <f>COUNTIFS(PLANIFICACION_MENSUAL!$E$2:$E$433,$A18,PLANIFICACION_MENSUAL!$I$2:$I$433,"TRABAJA")</f>
        <v/>
      </c>
    </row>
    <row r="19">
      <c r="A19" s="11" t="n">
        <v>46316</v>
      </c>
      <c r="B19" s="3" t="inlineStr">
        <is>
          <t>Miércoles</t>
        </is>
      </c>
      <c r="C19" s="3" t="inlineStr">
        <is>
          <t>HÁBIL</t>
        </is>
      </c>
      <c r="D19" s="3">
        <f>COUNTIFS(PLANIFICACION_MENSUAL!$E$2:$E$433,$A19,PLANIFICACION_MENSUAL!$J$2:$J$433,"&lt;="&amp;(D$1+0.0001),PLANIFICACION_MENSUAL!$K$2:$K$433,"&gt;"&amp;(D$1+0.0001))</f>
        <v/>
      </c>
      <c r="E19" s="3">
        <f>COUNTIFS(PLANIFICACION_MENSUAL!$E$2:$E$433,$A19,PLANIFICACION_MENSUAL!$J$2:$J$433,"&lt;="&amp;(E$1+0.0001),PLANIFICACION_MENSUAL!$K$2:$K$433,"&gt;"&amp;(E$1+0.0001))</f>
        <v/>
      </c>
      <c r="F19" s="3">
        <f>COUNTIFS(PLANIFICACION_MENSUAL!$E$2:$E$433,$A19,PLANIFICACION_MENSUAL!$J$2:$J$433,"&lt;="&amp;(F$1+0.0001),PLANIFICACION_MENSUAL!$K$2:$K$433,"&gt;"&amp;(F$1+0.0001))</f>
        <v/>
      </c>
      <c r="G19" s="3">
        <f>COUNTIFS(PLANIFICACION_MENSUAL!$E$2:$E$433,$A19,PLANIFICACION_MENSUAL!$J$2:$J$433,"&lt;="&amp;(G$1+0.0001),PLANIFICACION_MENSUAL!$K$2:$K$433,"&gt;"&amp;(G$1+0.0001))</f>
        <v/>
      </c>
      <c r="H19" s="3">
        <f>COUNTIFS(PLANIFICACION_MENSUAL!$E$2:$E$433,$A19,PLANIFICACION_MENSUAL!$J$2:$J$433,"&lt;="&amp;(H$1+0.0001),PLANIFICACION_MENSUAL!$K$2:$K$433,"&gt;"&amp;(H$1+0.0001))</f>
        <v/>
      </c>
      <c r="I19" s="3">
        <f>COUNTIFS(PLANIFICACION_MENSUAL!$E$2:$E$433,$A19,PLANIFICACION_MENSUAL!$J$2:$J$433,"&lt;="&amp;(I$1+0.0001),PLANIFICACION_MENSUAL!$K$2:$K$433,"&gt;"&amp;(I$1+0.0001))</f>
        <v/>
      </c>
      <c r="J19" s="3">
        <f>COUNTIFS(PLANIFICACION_MENSUAL!$E$2:$E$433,$A19,PLANIFICACION_MENSUAL!$J$2:$J$433,"&lt;="&amp;(J$1+0.0001),PLANIFICACION_MENSUAL!$K$2:$K$433,"&gt;"&amp;(J$1+0.0001))</f>
        <v/>
      </c>
      <c r="K19" s="3">
        <f>COUNTIFS(PLANIFICACION_MENSUAL!$E$2:$E$433,$A19,PLANIFICACION_MENSUAL!$J$2:$J$433,"&lt;="&amp;(K$1+0.0001),PLANIFICACION_MENSUAL!$K$2:$K$433,"&gt;"&amp;(K$1+0.0001))</f>
        <v/>
      </c>
      <c r="L19" s="3">
        <f>COUNTIFS(PLANIFICACION_MENSUAL!$E$2:$E$433,$A19,PLANIFICACION_MENSUAL!$J$2:$J$433,"&lt;="&amp;(L$1+0.0001),PLANIFICACION_MENSUAL!$K$2:$K$433,"&gt;"&amp;(L$1+0.0001))</f>
        <v/>
      </c>
      <c r="M19" s="3">
        <f>COUNTIFS(PLANIFICACION_MENSUAL!$E$2:$E$433,$A19,PLANIFICACION_MENSUAL!$J$2:$J$433,"&lt;="&amp;(M$1+0.0001),PLANIFICACION_MENSUAL!$K$2:$K$433,"&gt;"&amp;(M$1+0.0001))</f>
        <v/>
      </c>
      <c r="N19" s="3">
        <f>COUNTIFS(PLANIFICACION_MENSUAL!$E$2:$E$433,$A19,PLANIFICACION_MENSUAL!$J$2:$J$433,"&lt;="&amp;(N$1+0.0001),PLANIFICACION_MENSUAL!$K$2:$K$433,"&gt;"&amp;(N$1+0.0001))</f>
        <v/>
      </c>
      <c r="O19" s="3">
        <f>COUNTIFS(PLANIFICACION_MENSUAL!$E$2:$E$433,$A19,PLANIFICACION_MENSUAL!$J$2:$J$433,"&lt;="&amp;(O$1+0.0001),PLANIFICACION_MENSUAL!$K$2:$K$433,"&gt;"&amp;(O$1+0.0001))</f>
        <v/>
      </c>
      <c r="P19" s="3">
        <f>COUNTIFS(PLANIFICACION_MENSUAL!$E$2:$E$433,$A19,PLANIFICACION_MENSUAL!$I$2:$I$433,"TRABAJA")</f>
        <v/>
      </c>
    </row>
    <row r="20">
      <c r="A20" s="11" t="n">
        <v>46317</v>
      </c>
      <c r="B20" s="3" t="inlineStr">
        <is>
          <t>Jueves</t>
        </is>
      </c>
      <c r="C20" s="3" t="inlineStr">
        <is>
          <t>HÁBIL</t>
        </is>
      </c>
      <c r="D20" s="3">
        <f>COUNTIFS(PLANIFICACION_MENSUAL!$E$2:$E$433,$A20,PLANIFICACION_MENSUAL!$J$2:$J$433,"&lt;="&amp;(D$1+0.0001),PLANIFICACION_MENSUAL!$K$2:$K$433,"&gt;"&amp;(D$1+0.0001))</f>
        <v/>
      </c>
      <c r="E20" s="3">
        <f>COUNTIFS(PLANIFICACION_MENSUAL!$E$2:$E$433,$A20,PLANIFICACION_MENSUAL!$J$2:$J$433,"&lt;="&amp;(E$1+0.0001),PLANIFICACION_MENSUAL!$K$2:$K$433,"&gt;"&amp;(E$1+0.0001))</f>
        <v/>
      </c>
      <c r="F20" s="3">
        <f>COUNTIFS(PLANIFICACION_MENSUAL!$E$2:$E$433,$A20,PLANIFICACION_MENSUAL!$J$2:$J$433,"&lt;="&amp;(F$1+0.0001),PLANIFICACION_MENSUAL!$K$2:$K$433,"&gt;"&amp;(F$1+0.0001))</f>
        <v/>
      </c>
      <c r="G20" s="3">
        <f>COUNTIFS(PLANIFICACION_MENSUAL!$E$2:$E$433,$A20,PLANIFICACION_MENSUAL!$J$2:$J$433,"&lt;="&amp;(G$1+0.0001),PLANIFICACION_MENSUAL!$K$2:$K$433,"&gt;"&amp;(G$1+0.0001))</f>
        <v/>
      </c>
      <c r="H20" s="3">
        <f>COUNTIFS(PLANIFICACION_MENSUAL!$E$2:$E$433,$A20,PLANIFICACION_MENSUAL!$J$2:$J$433,"&lt;="&amp;(H$1+0.0001),PLANIFICACION_MENSUAL!$K$2:$K$433,"&gt;"&amp;(H$1+0.0001))</f>
        <v/>
      </c>
      <c r="I20" s="3">
        <f>COUNTIFS(PLANIFICACION_MENSUAL!$E$2:$E$433,$A20,PLANIFICACION_MENSUAL!$J$2:$J$433,"&lt;="&amp;(I$1+0.0001),PLANIFICACION_MENSUAL!$K$2:$K$433,"&gt;"&amp;(I$1+0.0001))</f>
        <v/>
      </c>
      <c r="J20" s="3">
        <f>COUNTIFS(PLANIFICACION_MENSUAL!$E$2:$E$433,$A20,PLANIFICACION_MENSUAL!$J$2:$J$433,"&lt;="&amp;(J$1+0.0001),PLANIFICACION_MENSUAL!$K$2:$K$433,"&gt;"&amp;(J$1+0.0001))</f>
        <v/>
      </c>
      <c r="K20" s="3">
        <f>COUNTIFS(PLANIFICACION_MENSUAL!$E$2:$E$433,$A20,PLANIFICACION_MENSUAL!$J$2:$J$433,"&lt;="&amp;(K$1+0.0001),PLANIFICACION_MENSUAL!$K$2:$K$433,"&gt;"&amp;(K$1+0.0001))</f>
        <v/>
      </c>
      <c r="L20" s="3">
        <f>COUNTIFS(PLANIFICACION_MENSUAL!$E$2:$E$433,$A20,PLANIFICACION_MENSUAL!$J$2:$J$433,"&lt;="&amp;(L$1+0.0001),PLANIFICACION_MENSUAL!$K$2:$K$433,"&gt;"&amp;(L$1+0.0001))</f>
        <v/>
      </c>
      <c r="M20" s="3">
        <f>COUNTIFS(PLANIFICACION_MENSUAL!$E$2:$E$433,$A20,PLANIFICACION_MENSUAL!$J$2:$J$433,"&lt;="&amp;(M$1+0.0001),PLANIFICACION_MENSUAL!$K$2:$K$433,"&gt;"&amp;(M$1+0.0001))</f>
        <v/>
      </c>
      <c r="N20" s="3">
        <f>COUNTIFS(PLANIFICACION_MENSUAL!$E$2:$E$433,$A20,PLANIFICACION_MENSUAL!$J$2:$J$433,"&lt;="&amp;(N$1+0.0001),PLANIFICACION_MENSUAL!$K$2:$K$433,"&gt;"&amp;(N$1+0.0001))</f>
        <v/>
      </c>
      <c r="O20" s="3">
        <f>COUNTIFS(PLANIFICACION_MENSUAL!$E$2:$E$433,$A20,PLANIFICACION_MENSUAL!$J$2:$J$433,"&lt;="&amp;(O$1+0.0001),PLANIFICACION_MENSUAL!$K$2:$K$433,"&gt;"&amp;(O$1+0.0001))</f>
        <v/>
      </c>
      <c r="P20" s="3">
        <f>COUNTIFS(PLANIFICACION_MENSUAL!$E$2:$E$433,$A20,PLANIFICACION_MENSUAL!$I$2:$I$433,"TRABAJA")</f>
        <v/>
      </c>
    </row>
    <row r="21">
      <c r="A21" s="11" t="n">
        <v>46318</v>
      </c>
      <c r="B21" s="3" t="inlineStr">
        <is>
          <t>Viernes</t>
        </is>
      </c>
      <c r="C21" s="3" t="inlineStr">
        <is>
          <t>HÁBIL</t>
        </is>
      </c>
      <c r="D21" s="3">
        <f>COUNTIFS(PLANIFICACION_MENSUAL!$E$2:$E$433,$A21,PLANIFICACION_MENSUAL!$J$2:$J$433,"&lt;="&amp;(D$1+0.0001),PLANIFICACION_MENSUAL!$K$2:$K$433,"&gt;"&amp;(D$1+0.0001))</f>
        <v/>
      </c>
      <c r="E21" s="3">
        <f>COUNTIFS(PLANIFICACION_MENSUAL!$E$2:$E$433,$A21,PLANIFICACION_MENSUAL!$J$2:$J$433,"&lt;="&amp;(E$1+0.0001),PLANIFICACION_MENSUAL!$K$2:$K$433,"&gt;"&amp;(E$1+0.0001))</f>
        <v/>
      </c>
      <c r="F21" s="3">
        <f>COUNTIFS(PLANIFICACION_MENSUAL!$E$2:$E$433,$A21,PLANIFICACION_MENSUAL!$J$2:$J$433,"&lt;="&amp;(F$1+0.0001),PLANIFICACION_MENSUAL!$K$2:$K$433,"&gt;"&amp;(F$1+0.0001))</f>
        <v/>
      </c>
      <c r="G21" s="3">
        <f>COUNTIFS(PLANIFICACION_MENSUAL!$E$2:$E$433,$A21,PLANIFICACION_MENSUAL!$J$2:$J$433,"&lt;="&amp;(G$1+0.0001),PLANIFICACION_MENSUAL!$K$2:$K$433,"&gt;"&amp;(G$1+0.0001))</f>
        <v/>
      </c>
      <c r="H21" s="3">
        <f>COUNTIFS(PLANIFICACION_MENSUAL!$E$2:$E$433,$A21,PLANIFICACION_MENSUAL!$J$2:$J$433,"&lt;="&amp;(H$1+0.0001),PLANIFICACION_MENSUAL!$K$2:$K$433,"&gt;"&amp;(H$1+0.0001))</f>
        <v/>
      </c>
      <c r="I21" s="3">
        <f>COUNTIFS(PLANIFICACION_MENSUAL!$E$2:$E$433,$A21,PLANIFICACION_MENSUAL!$J$2:$J$433,"&lt;="&amp;(I$1+0.0001),PLANIFICACION_MENSUAL!$K$2:$K$433,"&gt;"&amp;(I$1+0.0001))</f>
        <v/>
      </c>
      <c r="J21" s="3">
        <f>COUNTIFS(PLANIFICACION_MENSUAL!$E$2:$E$433,$A21,PLANIFICACION_MENSUAL!$J$2:$J$433,"&lt;="&amp;(J$1+0.0001),PLANIFICACION_MENSUAL!$K$2:$K$433,"&gt;"&amp;(J$1+0.0001))</f>
        <v/>
      </c>
      <c r="K21" s="3">
        <f>COUNTIFS(PLANIFICACION_MENSUAL!$E$2:$E$433,$A21,PLANIFICACION_MENSUAL!$J$2:$J$433,"&lt;="&amp;(K$1+0.0001),PLANIFICACION_MENSUAL!$K$2:$K$433,"&gt;"&amp;(K$1+0.0001))</f>
        <v/>
      </c>
      <c r="L21" s="3">
        <f>COUNTIFS(PLANIFICACION_MENSUAL!$E$2:$E$433,$A21,PLANIFICACION_MENSUAL!$J$2:$J$433,"&lt;="&amp;(L$1+0.0001),PLANIFICACION_MENSUAL!$K$2:$K$433,"&gt;"&amp;(L$1+0.0001))</f>
        <v/>
      </c>
      <c r="M21" s="3">
        <f>COUNTIFS(PLANIFICACION_MENSUAL!$E$2:$E$433,$A21,PLANIFICACION_MENSUAL!$J$2:$J$433,"&lt;="&amp;(M$1+0.0001),PLANIFICACION_MENSUAL!$K$2:$K$433,"&gt;"&amp;(M$1+0.0001))</f>
        <v/>
      </c>
      <c r="N21" s="3">
        <f>COUNTIFS(PLANIFICACION_MENSUAL!$E$2:$E$433,$A21,PLANIFICACION_MENSUAL!$J$2:$J$433,"&lt;="&amp;(N$1+0.0001),PLANIFICACION_MENSUAL!$K$2:$K$433,"&gt;"&amp;(N$1+0.0001))</f>
        <v/>
      </c>
      <c r="O21" s="3">
        <f>COUNTIFS(PLANIFICACION_MENSUAL!$E$2:$E$433,$A21,PLANIFICACION_MENSUAL!$J$2:$J$433,"&lt;="&amp;(O$1+0.0001),PLANIFICACION_MENSUAL!$K$2:$K$433,"&gt;"&amp;(O$1+0.0001))</f>
        <v/>
      </c>
      <c r="P21" s="3">
        <f>COUNTIFS(PLANIFICACION_MENSUAL!$E$2:$E$433,$A21,PLANIFICACION_MENSUAL!$I$2:$I$433,"TRABAJA")</f>
        <v/>
      </c>
    </row>
    <row r="22">
      <c r="A22" s="11" t="n">
        <v>46319</v>
      </c>
      <c r="B22" s="3" t="inlineStr">
        <is>
          <t>Sábado</t>
        </is>
      </c>
      <c r="C22" s="3" t="inlineStr">
        <is>
          <t>SÁBADO</t>
        </is>
      </c>
      <c r="D22" s="3">
        <f>COUNTIFS(PLANIFICACION_MENSUAL!$E$2:$E$433,$A22,PLANIFICACION_MENSUAL!$J$2:$J$433,"&lt;="&amp;(D$1+0.0001),PLANIFICACION_MENSUAL!$K$2:$K$433,"&gt;"&amp;(D$1+0.0001))</f>
        <v/>
      </c>
      <c r="E22" s="3">
        <f>COUNTIFS(PLANIFICACION_MENSUAL!$E$2:$E$433,$A22,PLANIFICACION_MENSUAL!$J$2:$J$433,"&lt;="&amp;(E$1+0.0001),PLANIFICACION_MENSUAL!$K$2:$K$433,"&gt;"&amp;(E$1+0.0001))</f>
        <v/>
      </c>
      <c r="F22" s="3">
        <f>COUNTIFS(PLANIFICACION_MENSUAL!$E$2:$E$433,$A22,PLANIFICACION_MENSUAL!$J$2:$J$433,"&lt;="&amp;(F$1+0.0001),PLANIFICACION_MENSUAL!$K$2:$K$433,"&gt;"&amp;(F$1+0.0001))</f>
        <v/>
      </c>
      <c r="G22" s="3">
        <f>COUNTIFS(PLANIFICACION_MENSUAL!$E$2:$E$433,$A22,PLANIFICACION_MENSUAL!$J$2:$J$433,"&lt;="&amp;(G$1+0.0001),PLANIFICACION_MENSUAL!$K$2:$K$433,"&gt;"&amp;(G$1+0.0001))</f>
        <v/>
      </c>
      <c r="H22" s="3">
        <f>COUNTIFS(PLANIFICACION_MENSUAL!$E$2:$E$433,$A22,PLANIFICACION_MENSUAL!$J$2:$J$433,"&lt;="&amp;(H$1+0.0001),PLANIFICACION_MENSUAL!$K$2:$K$433,"&gt;"&amp;(H$1+0.0001))</f>
        <v/>
      </c>
      <c r="I22" s="3">
        <f>COUNTIFS(PLANIFICACION_MENSUAL!$E$2:$E$433,$A22,PLANIFICACION_MENSUAL!$J$2:$J$433,"&lt;="&amp;(I$1+0.0001),PLANIFICACION_MENSUAL!$K$2:$K$433,"&gt;"&amp;(I$1+0.0001))</f>
        <v/>
      </c>
      <c r="J22" s="3">
        <f>COUNTIFS(PLANIFICACION_MENSUAL!$E$2:$E$433,$A22,PLANIFICACION_MENSUAL!$J$2:$J$433,"&lt;="&amp;(J$1+0.0001),PLANIFICACION_MENSUAL!$K$2:$K$433,"&gt;"&amp;(J$1+0.0001))</f>
        <v/>
      </c>
      <c r="K22" s="3">
        <f>COUNTIFS(PLANIFICACION_MENSUAL!$E$2:$E$433,$A22,PLANIFICACION_MENSUAL!$J$2:$J$433,"&lt;="&amp;(K$1+0.0001),PLANIFICACION_MENSUAL!$K$2:$K$433,"&gt;"&amp;(K$1+0.0001))</f>
        <v/>
      </c>
      <c r="L22" s="3">
        <f>COUNTIFS(PLANIFICACION_MENSUAL!$E$2:$E$433,$A22,PLANIFICACION_MENSUAL!$J$2:$J$433,"&lt;="&amp;(L$1+0.0001),PLANIFICACION_MENSUAL!$K$2:$K$433,"&gt;"&amp;(L$1+0.0001))</f>
        <v/>
      </c>
      <c r="M22" s="3">
        <f>COUNTIFS(PLANIFICACION_MENSUAL!$E$2:$E$433,$A22,PLANIFICACION_MENSUAL!$J$2:$J$433,"&lt;="&amp;(M$1+0.0001),PLANIFICACION_MENSUAL!$K$2:$K$433,"&gt;"&amp;(M$1+0.0001))</f>
        <v/>
      </c>
      <c r="N22" s="3">
        <f>COUNTIFS(PLANIFICACION_MENSUAL!$E$2:$E$433,$A22,PLANIFICACION_MENSUAL!$J$2:$J$433,"&lt;="&amp;(N$1+0.0001),PLANIFICACION_MENSUAL!$K$2:$K$433,"&gt;"&amp;(N$1+0.0001))</f>
        <v/>
      </c>
      <c r="O22" s="3">
        <f>COUNTIFS(PLANIFICACION_MENSUAL!$E$2:$E$433,$A22,PLANIFICACION_MENSUAL!$J$2:$J$433,"&lt;="&amp;(O$1+0.0001),PLANIFICACION_MENSUAL!$K$2:$K$433,"&gt;"&amp;(O$1+0.0001))</f>
        <v/>
      </c>
      <c r="P22" s="3">
        <f>COUNTIFS(PLANIFICACION_MENSUAL!$E$2:$E$433,$A22,PLANIFICACION_MENSUAL!$I$2:$I$433,"TRABAJA")</f>
        <v/>
      </c>
    </row>
    <row r="23">
      <c r="A23" s="11" t="n">
        <v>46321</v>
      </c>
      <c r="B23" s="3" t="inlineStr">
        <is>
          <t>Lunes</t>
        </is>
      </c>
      <c r="C23" s="3" t="inlineStr">
        <is>
          <t>HÁBIL</t>
        </is>
      </c>
      <c r="D23" s="3">
        <f>COUNTIFS(PLANIFICACION_MENSUAL!$E$2:$E$433,$A23,PLANIFICACION_MENSUAL!$J$2:$J$433,"&lt;="&amp;(D$1+0.0001),PLANIFICACION_MENSUAL!$K$2:$K$433,"&gt;"&amp;(D$1+0.0001))</f>
        <v/>
      </c>
      <c r="E23" s="3">
        <f>COUNTIFS(PLANIFICACION_MENSUAL!$E$2:$E$433,$A23,PLANIFICACION_MENSUAL!$J$2:$J$433,"&lt;="&amp;(E$1+0.0001),PLANIFICACION_MENSUAL!$K$2:$K$433,"&gt;"&amp;(E$1+0.0001))</f>
        <v/>
      </c>
      <c r="F23" s="3">
        <f>COUNTIFS(PLANIFICACION_MENSUAL!$E$2:$E$433,$A23,PLANIFICACION_MENSUAL!$J$2:$J$433,"&lt;="&amp;(F$1+0.0001),PLANIFICACION_MENSUAL!$K$2:$K$433,"&gt;"&amp;(F$1+0.0001))</f>
        <v/>
      </c>
      <c r="G23" s="3">
        <f>COUNTIFS(PLANIFICACION_MENSUAL!$E$2:$E$433,$A23,PLANIFICACION_MENSUAL!$J$2:$J$433,"&lt;="&amp;(G$1+0.0001),PLANIFICACION_MENSUAL!$K$2:$K$433,"&gt;"&amp;(G$1+0.0001))</f>
        <v/>
      </c>
      <c r="H23" s="3">
        <f>COUNTIFS(PLANIFICACION_MENSUAL!$E$2:$E$433,$A23,PLANIFICACION_MENSUAL!$J$2:$J$433,"&lt;="&amp;(H$1+0.0001),PLANIFICACION_MENSUAL!$K$2:$K$433,"&gt;"&amp;(H$1+0.0001))</f>
        <v/>
      </c>
      <c r="I23" s="3">
        <f>COUNTIFS(PLANIFICACION_MENSUAL!$E$2:$E$433,$A23,PLANIFICACION_MENSUAL!$J$2:$J$433,"&lt;="&amp;(I$1+0.0001),PLANIFICACION_MENSUAL!$K$2:$K$433,"&gt;"&amp;(I$1+0.0001))</f>
        <v/>
      </c>
      <c r="J23" s="3">
        <f>COUNTIFS(PLANIFICACION_MENSUAL!$E$2:$E$433,$A23,PLANIFICACION_MENSUAL!$J$2:$J$433,"&lt;="&amp;(J$1+0.0001),PLANIFICACION_MENSUAL!$K$2:$K$433,"&gt;"&amp;(J$1+0.0001))</f>
        <v/>
      </c>
      <c r="K23" s="3">
        <f>COUNTIFS(PLANIFICACION_MENSUAL!$E$2:$E$433,$A23,PLANIFICACION_MENSUAL!$J$2:$J$433,"&lt;="&amp;(K$1+0.0001),PLANIFICACION_MENSUAL!$K$2:$K$433,"&gt;"&amp;(K$1+0.0001))</f>
        <v/>
      </c>
      <c r="L23" s="3">
        <f>COUNTIFS(PLANIFICACION_MENSUAL!$E$2:$E$433,$A23,PLANIFICACION_MENSUAL!$J$2:$J$433,"&lt;="&amp;(L$1+0.0001),PLANIFICACION_MENSUAL!$K$2:$K$433,"&gt;"&amp;(L$1+0.0001))</f>
        <v/>
      </c>
      <c r="M23" s="3">
        <f>COUNTIFS(PLANIFICACION_MENSUAL!$E$2:$E$433,$A23,PLANIFICACION_MENSUAL!$J$2:$J$433,"&lt;="&amp;(M$1+0.0001),PLANIFICACION_MENSUAL!$K$2:$K$433,"&gt;"&amp;(M$1+0.0001))</f>
        <v/>
      </c>
      <c r="N23" s="3">
        <f>COUNTIFS(PLANIFICACION_MENSUAL!$E$2:$E$433,$A23,PLANIFICACION_MENSUAL!$J$2:$J$433,"&lt;="&amp;(N$1+0.0001),PLANIFICACION_MENSUAL!$K$2:$K$433,"&gt;"&amp;(N$1+0.0001))</f>
        <v/>
      </c>
      <c r="O23" s="3">
        <f>COUNTIFS(PLANIFICACION_MENSUAL!$E$2:$E$433,$A23,PLANIFICACION_MENSUAL!$J$2:$J$433,"&lt;="&amp;(O$1+0.0001),PLANIFICACION_MENSUAL!$K$2:$K$433,"&gt;"&amp;(O$1+0.0001))</f>
        <v/>
      </c>
      <c r="P23" s="3">
        <f>COUNTIFS(PLANIFICACION_MENSUAL!$E$2:$E$433,$A23,PLANIFICACION_MENSUAL!$I$2:$I$433,"TRABAJA")</f>
        <v/>
      </c>
    </row>
    <row r="24">
      <c r="A24" s="11" t="n">
        <v>46322</v>
      </c>
      <c r="B24" s="3" t="inlineStr">
        <is>
          <t>Martes</t>
        </is>
      </c>
      <c r="C24" s="3" t="inlineStr">
        <is>
          <t>HÁBIL</t>
        </is>
      </c>
      <c r="D24" s="3">
        <f>COUNTIFS(PLANIFICACION_MENSUAL!$E$2:$E$433,$A24,PLANIFICACION_MENSUAL!$J$2:$J$433,"&lt;="&amp;(D$1+0.0001),PLANIFICACION_MENSUAL!$K$2:$K$433,"&gt;"&amp;(D$1+0.0001))</f>
        <v/>
      </c>
      <c r="E24" s="3">
        <f>COUNTIFS(PLANIFICACION_MENSUAL!$E$2:$E$433,$A24,PLANIFICACION_MENSUAL!$J$2:$J$433,"&lt;="&amp;(E$1+0.0001),PLANIFICACION_MENSUAL!$K$2:$K$433,"&gt;"&amp;(E$1+0.0001))</f>
        <v/>
      </c>
      <c r="F24" s="3">
        <f>COUNTIFS(PLANIFICACION_MENSUAL!$E$2:$E$433,$A24,PLANIFICACION_MENSUAL!$J$2:$J$433,"&lt;="&amp;(F$1+0.0001),PLANIFICACION_MENSUAL!$K$2:$K$433,"&gt;"&amp;(F$1+0.0001))</f>
        <v/>
      </c>
      <c r="G24" s="3">
        <f>COUNTIFS(PLANIFICACION_MENSUAL!$E$2:$E$433,$A24,PLANIFICACION_MENSUAL!$J$2:$J$433,"&lt;="&amp;(G$1+0.0001),PLANIFICACION_MENSUAL!$K$2:$K$433,"&gt;"&amp;(G$1+0.0001))</f>
        <v/>
      </c>
      <c r="H24" s="3">
        <f>COUNTIFS(PLANIFICACION_MENSUAL!$E$2:$E$433,$A24,PLANIFICACION_MENSUAL!$J$2:$J$433,"&lt;="&amp;(H$1+0.0001),PLANIFICACION_MENSUAL!$K$2:$K$433,"&gt;"&amp;(H$1+0.0001))</f>
        <v/>
      </c>
      <c r="I24" s="3">
        <f>COUNTIFS(PLANIFICACION_MENSUAL!$E$2:$E$433,$A24,PLANIFICACION_MENSUAL!$J$2:$J$433,"&lt;="&amp;(I$1+0.0001),PLANIFICACION_MENSUAL!$K$2:$K$433,"&gt;"&amp;(I$1+0.0001))</f>
        <v/>
      </c>
      <c r="J24" s="3">
        <f>COUNTIFS(PLANIFICACION_MENSUAL!$E$2:$E$433,$A24,PLANIFICACION_MENSUAL!$J$2:$J$433,"&lt;="&amp;(J$1+0.0001),PLANIFICACION_MENSUAL!$K$2:$K$433,"&gt;"&amp;(J$1+0.0001))</f>
        <v/>
      </c>
      <c r="K24" s="3">
        <f>COUNTIFS(PLANIFICACION_MENSUAL!$E$2:$E$433,$A24,PLANIFICACION_MENSUAL!$J$2:$J$433,"&lt;="&amp;(K$1+0.0001),PLANIFICACION_MENSUAL!$K$2:$K$433,"&gt;"&amp;(K$1+0.0001))</f>
        <v/>
      </c>
      <c r="L24" s="3">
        <f>COUNTIFS(PLANIFICACION_MENSUAL!$E$2:$E$433,$A24,PLANIFICACION_MENSUAL!$J$2:$J$433,"&lt;="&amp;(L$1+0.0001),PLANIFICACION_MENSUAL!$K$2:$K$433,"&gt;"&amp;(L$1+0.0001))</f>
        <v/>
      </c>
      <c r="M24" s="3">
        <f>COUNTIFS(PLANIFICACION_MENSUAL!$E$2:$E$433,$A24,PLANIFICACION_MENSUAL!$J$2:$J$433,"&lt;="&amp;(M$1+0.0001),PLANIFICACION_MENSUAL!$K$2:$K$433,"&gt;"&amp;(M$1+0.0001))</f>
        <v/>
      </c>
      <c r="N24" s="3">
        <f>COUNTIFS(PLANIFICACION_MENSUAL!$E$2:$E$433,$A24,PLANIFICACION_MENSUAL!$J$2:$J$433,"&lt;="&amp;(N$1+0.0001),PLANIFICACION_MENSUAL!$K$2:$K$433,"&gt;"&amp;(N$1+0.0001))</f>
        <v/>
      </c>
      <c r="O24" s="3">
        <f>COUNTIFS(PLANIFICACION_MENSUAL!$E$2:$E$433,$A24,PLANIFICACION_MENSUAL!$J$2:$J$433,"&lt;="&amp;(O$1+0.0001),PLANIFICACION_MENSUAL!$K$2:$K$433,"&gt;"&amp;(O$1+0.0001))</f>
        <v/>
      </c>
      <c r="P24" s="3">
        <f>COUNTIFS(PLANIFICACION_MENSUAL!$E$2:$E$433,$A24,PLANIFICACION_MENSUAL!$I$2:$I$433,"TRABAJA")</f>
        <v/>
      </c>
    </row>
    <row r="25">
      <c r="A25" s="11" t="n">
        <v>46323</v>
      </c>
      <c r="B25" s="3" t="inlineStr">
        <is>
          <t>Miércoles</t>
        </is>
      </c>
      <c r="C25" s="3" t="inlineStr">
        <is>
          <t>HÁBIL</t>
        </is>
      </c>
      <c r="D25" s="3">
        <f>COUNTIFS(PLANIFICACION_MENSUAL!$E$2:$E$433,$A25,PLANIFICACION_MENSUAL!$J$2:$J$433,"&lt;="&amp;(D$1+0.0001),PLANIFICACION_MENSUAL!$K$2:$K$433,"&gt;"&amp;(D$1+0.0001))</f>
        <v/>
      </c>
      <c r="E25" s="3">
        <f>COUNTIFS(PLANIFICACION_MENSUAL!$E$2:$E$433,$A25,PLANIFICACION_MENSUAL!$J$2:$J$433,"&lt;="&amp;(E$1+0.0001),PLANIFICACION_MENSUAL!$K$2:$K$433,"&gt;"&amp;(E$1+0.0001))</f>
        <v/>
      </c>
      <c r="F25" s="3">
        <f>COUNTIFS(PLANIFICACION_MENSUAL!$E$2:$E$433,$A25,PLANIFICACION_MENSUAL!$J$2:$J$433,"&lt;="&amp;(F$1+0.0001),PLANIFICACION_MENSUAL!$K$2:$K$433,"&gt;"&amp;(F$1+0.0001))</f>
        <v/>
      </c>
      <c r="G25" s="3">
        <f>COUNTIFS(PLANIFICACION_MENSUAL!$E$2:$E$433,$A25,PLANIFICACION_MENSUAL!$J$2:$J$433,"&lt;="&amp;(G$1+0.0001),PLANIFICACION_MENSUAL!$K$2:$K$433,"&gt;"&amp;(G$1+0.0001))</f>
        <v/>
      </c>
      <c r="H25" s="3">
        <f>COUNTIFS(PLANIFICACION_MENSUAL!$E$2:$E$433,$A25,PLANIFICACION_MENSUAL!$J$2:$J$433,"&lt;="&amp;(H$1+0.0001),PLANIFICACION_MENSUAL!$K$2:$K$433,"&gt;"&amp;(H$1+0.0001))</f>
        <v/>
      </c>
      <c r="I25" s="3">
        <f>COUNTIFS(PLANIFICACION_MENSUAL!$E$2:$E$433,$A25,PLANIFICACION_MENSUAL!$J$2:$J$433,"&lt;="&amp;(I$1+0.0001),PLANIFICACION_MENSUAL!$K$2:$K$433,"&gt;"&amp;(I$1+0.0001))</f>
        <v/>
      </c>
      <c r="J25" s="3">
        <f>COUNTIFS(PLANIFICACION_MENSUAL!$E$2:$E$433,$A25,PLANIFICACION_MENSUAL!$J$2:$J$433,"&lt;="&amp;(J$1+0.0001),PLANIFICACION_MENSUAL!$K$2:$K$433,"&gt;"&amp;(J$1+0.0001))</f>
        <v/>
      </c>
      <c r="K25" s="3">
        <f>COUNTIFS(PLANIFICACION_MENSUAL!$E$2:$E$433,$A25,PLANIFICACION_MENSUAL!$J$2:$J$433,"&lt;="&amp;(K$1+0.0001),PLANIFICACION_MENSUAL!$K$2:$K$433,"&gt;"&amp;(K$1+0.0001))</f>
        <v/>
      </c>
      <c r="L25" s="3">
        <f>COUNTIFS(PLANIFICACION_MENSUAL!$E$2:$E$433,$A25,PLANIFICACION_MENSUAL!$J$2:$J$433,"&lt;="&amp;(L$1+0.0001),PLANIFICACION_MENSUAL!$K$2:$K$433,"&gt;"&amp;(L$1+0.0001))</f>
        <v/>
      </c>
      <c r="M25" s="3">
        <f>COUNTIFS(PLANIFICACION_MENSUAL!$E$2:$E$433,$A25,PLANIFICACION_MENSUAL!$J$2:$J$433,"&lt;="&amp;(M$1+0.0001),PLANIFICACION_MENSUAL!$K$2:$K$433,"&gt;"&amp;(M$1+0.0001))</f>
        <v/>
      </c>
      <c r="N25" s="3">
        <f>COUNTIFS(PLANIFICACION_MENSUAL!$E$2:$E$433,$A25,PLANIFICACION_MENSUAL!$J$2:$J$433,"&lt;="&amp;(N$1+0.0001),PLANIFICACION_MENSUAL!$K$2:$K$433,"&gt;"&amp;(N$1+0.0001))</f>
        <v/>
      </c>
      <c r="O25" s="3">
        <f>COUNTIFS(PLANIFICACION_MENSUAL!$E$2:$E$433,$A25,PLANIFICACION_MENSUAL!$J$2:$J$433,"&lt;="&amp;(O$1+0.0001),PLANIFICACION_MENSUAL!$K$2:$K$433,"&gt;"&amp;(O$1+0.0001))</f>
        <v/>
      </c>
      <c r="P25" s="3">
        <f>COUNTIFS(PLANIFICACION_MENSUAL!$E$2:$E$433,$A25,PLANIFICACION_MENSUAL!$I$2:$I$433,"TRABAJA")</f>
        <v/>
      </c>
    </row>
    <row r="26">
      <c r="A26" s="11" t="n">
        <v>46324</v>
      </c>
      <c r="B26" s="3" t="inlineStr">
        <is>
          <t>Jueves</t>
        </is>
      </c>
      <c r="C26" s="3" t="inlineStr">
        <is>
          <t>HÁBIL</t>
        </is>
      </c>
      <c r="D26" s="3">
        <f>COUNTIFS(PLANIFICACION_MENSUAL!$E$2:$E$433,$A26,PLANIFICACION_MENSUAL!$J$2:$J$433,"&lt;="&amp;(D$1+0.0001),PLANIFICACION_MENSUAL!$K$2:$K$433,"&gt;"&amp;(D$1+0.0001))</f>
        <v/>
      </c>
      <c r="E26" s="3">
        <f>COUNTIFS(PLANIFICACION_MENSUAL!$E$2:$E$433,$A26,PLANIFICACION_MENSUAL!$J$2:$J$433,"&lt;="&amp;(E$1+0.0001),PLANIFICACION_MENSUAL!$K$2:$K$433,"&gt;"&amp;(E$1+0.0001))</f>
        <v/>
      </c>
      <c r="F26" s="3">
        <f>COUNTIFS(PLANIFICACION_MENSUAL!$E$2:$E$433,$A26,PLANIFICACION_MENSUAL!$J$2:$J$433,"&lt;="&amp;(F$1+0.0001),PLANIFICACION_MENSUAL!$K$2:$K$433,"&gt;"&amp;(F$1+0.0001))</f>
        <v/>
      </c>
      <c r="G26" s="3">
        <f>COUNTIFS(PLANIFICACION_MENSUAL!$E$2:$E$433,$A26,PLANIFICACION_MENSUAL!$J$2:$J$433,"&lt;="&amp;(G$1+0.0001),PLANIFICACION_MENSUAL!$K$2:$K$433,"&gt;"&amp;(G$1+0.0001))</f>
        <v/>
      </c>
      <c r="H26" s="3">
        <f>COUNTIFS(PLANIFICACION_MENSUAL!$E$2:$E$433,$A26,PLANIFICACION_MENSUAL!$J$2:$J$433,"&lt;="&amp;(H$1+0.0001),PLANIFICACION_MENSUAL!$K$2:$K$433,"&gt;"&amp;(H$1+0.0001))</f>
        <v/>
      </c>
      <c r="I26" s="3">
        <f>COUNTIFS(PLANIFICACION_MENSUAL!$E$2:$E$433,$A26,PLANIFICACION_MENSUAL!$J$2:$J$433,"&lt;="&amp;(I$1+0.0001),PLANIFICACION_MENSUAL!$K$2:$K$433,"&gt;"&amp;(I$1+0.0001))</f>
        <v/>
      </c>
      <c r="J26" s="3">
        <f>COUNTIFS(PLANIFICACION_MENSUAL!$E$2:$E$433,$A26,PLANIFICACION_MENSUAL!$J$2:$J$433,"&lt;="&amp;(J$1+0.0001),PLANIFICACION_MENSUAL!$K$2:$K$433,"&gt;"&amp;(J$1+0.0001))</f>
        <v/>
      </c>
      <c r="K26" s="3">
        <f>COUNTIFS(PLANIFICACION_MENSUAL!$E$2:$E$433,$A26,PLANIFICACION_MENSUAL!$J$2:$J$433,"&lt;="&amp;(K$1+0.0001),PLANIFICACION_MENSUAL!$K$2:$K$433,"&gt;"&amp;(K$1+0.0001))</f>
        <v/>
      </c>
      <c r="L26" s="3">
        <f>COUNTIFS(PLANIFICACION_MENSUAL!$E$2:$E$433,$A26,PLANIFICACION_MENSUAL!$J$2:$J$433,"&lt;="&amp;(L$1+0.0001),PLANIFICACION_MENSUAL!$K$2:$K$433,"&gt;"&amp;(L$1+0.0001))</f>
        <v/>
      </c>
      <c r="M26" s="3">
        <f>COUNTIFS(PLANIFICACION_MENSUAL!$E$2:$E$433,$A26,PLANIFICACION_MENSUAL!$J$2:$J$433,"&lt;="&amp;(M$1+0.0001),PLANIFICACION_MENSUAL!$K$2:$K$433,"&gt;"&amp;(M$1+0.0001))</f>
        <v/>
      </c>
      <c r="N26" s="3">
        <f>COUNTIFS(PLANIFICACION_MENSUAL!$E$2:$E$433,$A26,PLANIFICACION_MENSUAL!$J$2:$J$433,"&lt;="&amp;(N$1+0.0001),PLANIFICACION_MENSUAL!$K$2:$K$433,"&gt;"&amp;(N$1+0.0001))</f>
        <v/>
      </c>
      <c r="O26" s="3">
        <f>COUNTIFS(PLANIFICACION_MENSUAL!$E$2:$E$433,$A26,PLANIFICACION_MENSUAL!$J$2:$J$433,"&lt;="&amp;(O$1+0.0001),PLANIFICACION_MENSUAL!$K$2:$K$433,"&gt;"&amp;(O$1+0.0001))</f>
        <v/>
      </c>
      <c r="P26" s="3">
        <f>COUNTIFS(PLANIFICACION_MENSUAL!$E$2:$E$433,$A26,PLANIFICACION_MENSUAL!$I$2:$I$433,"TRABAJA")</f>
        <v/>
      </c>
    </row>
    <row r="27">
      <c r="A27" s="11" t="n">
        <v>46325</v>
      </c>
      <c r="B27" s="3" t="inlineStr">
        <is>
          <t>Viernes</t>
        </is>
      </c>
      <c r="C27" s="3" t="inlineStr">
        <is>
          <t>HÁBIL</t>
        </is>
      </c>
      <c r="D27" s="3">
        <f>COUNTIFS(PLANIFICACION_MENSUAL!$E$2:$E$433,$A27,PLANIFICACION_MENSUAL!$J$2:$J$433,"&lt;="&amp;(D$1+0.0001),PLANIFICACION_MENSUAL!$K$2:$K$433,"&gt;"&amp;(D$1+0.0001))</f>
        <v/>
      </c>
      <c r="E27" s="3">
        <f>COUNTIFS(PLANIFICACION_MENSUAL!$E$2:$E$433,$A27,PLANIFICACION_MENSUAL!$J$2:$J$433,"&lt;="&amp;(E$1+0.0001),PLANIFICACION_MENSUAL!$K$2:$K$433,"&gt;"&amp;(E$1+0.0001))</f>
        <v/>
      </c>
      <c r="F27" s="3">
        <f>COUNTIFS(PLANIFICACION_MENSUAL!$E$2:$E$433,$A27,PLANIFICACION_MENSUAL!$J$2:$J$433,"&lt;="&amp;(F$1+0.0001),PLANIFICACION_MENSUAL!$K$2:$K$433,"&gt;"&amp;(F$1+0.0001))</f>
        <v/>
      </c>
      <c r="G27" s="3">
        <f>COUNTIFS(PLANIFICACION_MENSUAL!$E$2:$E$433,$A27,PLANIFICACION_MENSUAL!$J$2:$J$433,"&lt;="&amp;(G$1+0.0001),PLANIFICACION_MENSUAL!$K$2:$K$433,"&gt;"&amp;(G$1+0.0001))</f>
        <v/>
      </c>
      <c r="H27" s="3">
        <f>COUNTIFS(PLANIFICACION_MENSUAL!$E$2:$E$433,$A27,PLANIFICACION_MENSUAL!$J$2:$J$433,"&lt;="&amp;(H$1+0.0001),PLANIFICACION_MENSUAL!$K$2:$K$433,"&gt;"&amp;(H$1+0.0001))</f>
        <v/>
      </c>
      <c r="I27" s="3">
        <f>COUNTIFS(PLANIFICACION_MENSUAL!$E$2:$E$433,$A27,PLANIFICACION_MENSUAL!$J$2:$J$433,"&lt;="&amp;(I$1+0.0001),PLANIFICACION_MENSUAL!$K$2:$K$433,"&gt;"&amp;(I$1+0.0001))</f>
        <v/>
      </c>
      <c r="J27" s="3">
        <f>COUNTIFS(PLANIFICACION_MENSUAL!$E$2:$E$433,$A27,PLANIFICACION_MENSUAL!$J$2:$J$433,"&lt;="&amp;(J$1+0.0001),PLANIFICACION_MENSUAL!$K$2:$K$433,"&gt;"&amp;(J$1+0.0001))</f>
        <v/>
      </c>
      <c r="K27" s="3">
        <f>COUNTIFS(PLANIFICACION_MENSUAL!$E$2:$E$433,$A27,PLANIFICACION_MENSUAL!$J$2:$J$433,"&lt;="&amp;(K$1+0.0001),PLANIFICACION_MENSUAL!$K$2:$K$433,"&gt;"&amp;(K$1+0.0001))</f>
        <v/>
      </c>
      <c r="L27" s="3">
        <f>COUNTIFS(PLANIFICACION_MENSUAL!$E$2:$E$433,$A27,PLANIFICACION_MENSUAL!$J$2:$J$433,"&lt;="&amp;(L$1+0.0001),PLANIFICACION_MENSUAL!$K$2:$K$433,"&gt;"&amp;(L$1+0.0001))</f>
        <v/>
      </c>
      <c r="M27" s="3">
        <f>COUNTIFS(PLANIFICACION_MENSUAL!$E$2:$E$433,$A27,PLANIFICACION_MENSUAL!$J$2:$J$433,"&lt;="&amp;(M$1+0.0001),PLANIFICACION_MENSUAL!$K$2:$K$433,"&gt;"&amp;(M$1+0.0001))</f>
        <v/>
      </c>
      <c r="N27" s="3">
        <f>COUNTIFS(PLANIFICACION_MENSUAL!$E$2:$E$433,$A27,PLANIFICACION_MENSUAL!$J$2:$J$433,"&lt;="&amp;(N$1+0.0001),PLANIFICACION_MENSUAL!$K$2:$K$433,"&gt;"&amp;(N$1+0.0001))</f>
        <v/>
      </c>
      <c r="O27" s="3">
        <f>COUNTIFS(PLANIFICACION_MENSUAL!$E$2:$E$433,$A27,PLANIFICACION_MENSUAL!$J$2:$J$433,"&lt;="&amp;(O$1+0.0001),PLANIFICACION_MENSUAL!$K$2:$K$433,"&gt;"&amp;(O$1+0.0001))</f>
        <v/>
      </c>
      <c r="P27" s="3">
        <f>COUNTIFS(PLANIFICACION_MENSUAL!$E$2:$E$433,$A27,PLANIFICACION_MENSUAL!$I$2:$I$433,"TRABAJA")</f>
        <v/>
      </c>
    </row>
    <row r="28">
      <c r="A28" s="11" t="n">
        <v>46326</v>
      </c>
      <c r="B28" s="3" t="inlineStr">
        <is>
          <t>Sábado</t>
        </is>
      </c>
      <c r="C28" s="3" t="inlineStr">
        <is>
          <t>FERIADO</t>
        </is>
      </c>
      <c r="D28" s="3">
        <f>COUNTIFS(PLANIFICACION_MENSUAL!$E$2:$E$433,$A28,PLANIFICACION_MENSUAL!$J$2:$J$433,"&lt;="&amp;(D$1+0.0001),PLANIFICACION_MENSUAL!$K$2:$K$433,"&gt;"&amp;(D$1+0.0001))</f>
        <v/>
      </c>
      <c r="E28" s="3">
        <f>COUNTIFS(PLANIFICACION_MENSUAL!$E$2:$E$433,$A28,PLANIFICACION_MENSUAL!$J$2:$J$433,"&lt;="&amp;(E$1+0.0001),PLANIFICACION_MENSUAL!$K$2:$K$433,"&gt;"&amp;(E$1+0.0001))</f>
        <v/>
      </c>
      <c r="F28" s="3">
        <f>COUNTIFS(PLANIFICACION_MENSUAL!$E$2:$E$433,$A28,PLANIFICACION_MENSUAL!$J$2:$J$433,"&lt;="&amp;(F$1+0.0001),PLANIFICACION_MENSUAL!$K$2:$K$433,"&gt;"&amp;(F$1+0.0001))</f>
        <v/>
      </c>
      <c r="G28" s="3">
        <f>COUNTIFS(PLANIFICACION_MENSUAL!$E$2:$E$433,$A28,PLANIFICACION_MENSUAL!$J$2:$J$433,"&lt;="&amp;(G$1+0.0001),PLANIFICACION_MENSUAL!$K$2:$K$433,"&gt;"&amp;(G$1+0.0001))</f>
        <v/>
      </c>
      <c r="H28" s="3">
        <f>COUNTIFS(PLANIFICACION_MENSUAL!$E$2:$E$433,$A28,PLANIFICACION_MENSUAL!$J$2:$J$433,"&lt;="&amp;(H$1+0.0001),PLANIFICACION_MENSUAL!$K$2:$K$433,"&gt;"&amp;(H$1+0.0001))</f>
        <v/>
      </c>
      <c r="I28" s="3">
        <f>COUNTIFS(PLANIFICACION_MENSUAL!$E$2:$E$433,$A28,PLANIFICACION_MENSUAL!$J$2:$J$433,"&lt;="&amp;(I$1+0.0001),PLANIFICACION_MENSUAL!$K$2:$K$433,"&gt;"&amp;(I$1+0.0001))</f>
        <v/>
      </c>
      <c r="J28" s="3">
        <f>COUNTIFS(PLANIFICACION_MENSUAL!$E$2:$E$433,$A28,PLANIFICACION_MENSUAL!$J$2:$J$433,"&lt;="&amp;(J$1+0.0001),PLANIFICACION_MENSUAL!$K$2:$K$433,"&gt;"&amp;(J$1+0.0001))</f>
        <v/>
      </c>
      <c r="K28" s="3">
        <f>COUNTIFS(PLANIFICACION_MENSUAL!$E$2:$E$433,$A28,PLANIFICACION_MENSUAL!$J$2:$J$433,"&lt;="&amp;(K$1+0.0001),PLANIFICACION_MENSUAL!$K$2:$K$433,"&gt;"&amp;(K$1+0.0001))</f>
        <v/>
      </c>
      <c r="L28" s="3">
        <f>COUNTIFS(PLANIFICACION_MENSUAL!$E$2:$E$433,$A28,PLANIFICACION_MENSUAL!$J$2:$J$433,"&lt;="&amp;(L$1+0.0001),PLANIFICACION_MENSUAL!$K$2:$K$433,"&gt;"&amp;(L$1+0.0001))</f>
        <v/>
      </c>
      <c r="M28" s="3">
        <f>COUNTIFS(PLANIFICACION_MENSUAL!$E$2:$E$433,$A28,PLANIFICACION_MENSUAL!$J$2:$J$433,"&lt;="&amp;(M$1+0.0001),PLANIFICACION_MENSUAL!$K$2:$K$433,"&gt;"&amp;(M$1+0.0001))</f>
        <v/>
      </c>
      <c r="N28" s="3">
        <f>COUNTIFS(PLANIFICACION_MENSUAL!$E$2:$E$433,$A28,PLANIFICACION_MENSUAL!$J$2:$J$433,"&lt;="&amp;(N$1+0.0001),PLANIFICACION_MENSUAL!$K$2:$K$433,"&gt;"&amp;(N$1+0.0001))</f>
        <v/>
      </c>
      <c r="O28" s="3">
        <f>COUNTIFS(PLANIFICACION_MENSUAL!$E$2:$E$433,$A28,PLANIFICACION_MENSUAL!$J$2:$J$433,"&lt;="&amp;(O$1+0.0001),PLANIFICACION_MENSUAL!$K$2:$K$433,"&gt;"&amp;(O$1+0.0001))</f>
        <v/>
      </c>
      <c r="P28" s="3">
        <f>COUNTIFS(PLANIFICACION_MENSUAL!$E$2:$E$433,$A28,PLANIFICACION_MENSUAL!$I$2:$I$433,"TRABAJA")</f>
        <v/>
      </c>
    </row>
    <row r="29">
      <c r="A29" s="12" t="inlineStr">
        <is>
          <t>MÍNIMO</t>
        </is>
      </c>
      <c r="B29" s="8" t="n"/>
      <c r="C29" s="8" t="n"/>
      <c r="D29" s="8">
        <f>MIN(D2:D28)</f>
        <v/>
      </c>
      <c r="E29" s="8">
        <f>MIN(E2:E28)</f>
        <v/>
      </c>
      <c r="F29" s="8">
        <f>MIN(F2:F28)</f>
        <v/>
      </c>
      <c r="G29" s="8">
        <f>MIN(G2:G28)</f>
        <v/>
      </c>
      <c r="H29" s="8">
        <f>MIN(H2:H28)</f>
        <v/>
      </c>
      <c r="I29" s="8">
        <f>MIN(I2:I28)</f>
        <v/>
      </c>
      <c r="J29" s="8">
        <f>MIN(J2:J28)</f>
        <v/>
      </c>
      <c r="K29" s="8">
        <f>MIN(K2:K28)</f>
        <v/>
      </c>
      <c r="L29" s="8">
        <f>MIN(L2:L28)</f>
        <v/>
      </c>
      <c r="M29" s="8">
        <f>MIN(M2:M28)</f>
        <v/>
      </c>
      <c r="N29" s="8">
        <f>MIN(N2:N28)</f>
        <v/>
      </c>
      <c r="O29" s="8">
        <f>MIN(O2:O28)</f>
        <v/>
      </c>
      <c r="P29" s="8">
        <f>MIN(P2:P28)</f>
        <v/>
      </c>
    </row>
  </sheetData>
  <autoFilter ref="A1:P29"/>
  <conditionalFormatting sqref="D2:D28">
    <cfRule type="expression" priority="1" dxfId="5">
      <formula>AND($C2="HÁBIL",D2&lt;6)</formula>
    </cfRule>
    <cfRule type="expression" priority="4" dxfId="5">
      <formula>AND($C2="SÁBADO",D2&lt;4)</formula>
    </cfRule>
  </conditionalFormatting>
  <conditionalFormatting sqref="E2:E28">
    <cfRule type="expression" priority="2" dxfId="5">
      <formula>AND($C2="HÁBIL",E2&lt;3)</formula>
    </cfRule>
  </conditionalFormatting>
  <conditionalFormatting sqref="O2:O28">
    <cfRule type="expression" priority="3" dxfId="5">
      <formula>AND($C2="HÁBIL",O2&lt;3)</formula>
    </cfRule>
  </conditionalFormatting>
  <conditionalFormatting sqref="I2:I28">
    <cfRule type="expression" priority="5" dxfId="5">
      <formula>AND($C2="SÁBADO",I2&lt;4)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8" customWidth="1" min="4" max="4"/>
    <col width="60" customWidth="1" min="5" max="5"/>
  </cols>
  <sheetData>
    <row r="1">
      <c r="A1" s="1" t="inlineStr">
        <is>
          <t>TIPO</t>
        </is>
      </c>
      <c r="B1" s="1" t="inlineStr">
        <is>
          <t>FECHA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DETALLE</t>
        </is>
      </c>
    </row>
    <row r="2">
      <c r="A2" s="2" t="inlineStr">
        <is>
          <t>Sin alertas</t>
        </is>
      </c>
      <c r="B2" s="4" t="n"/>
      <c r="C2" s="3" t="n"/>
      <c r="D2" s="3" t="n"/>
      <c r="E2" s="3" t="inlineStr">
        <is>
          <t>La planificación cumple todas las reglas.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2026-10-19T02:34:42Z</dcterms:created>
  <dcterms:modified xmlns:dcterms="http://purl.org/dc/terms/" xmlns:xsi="http://www.w3.org/2001/XMLSchema-instance" xsi:type="dcterms:W3CDTF">2026-10-19T02:34:42Z</dcterms:modified>
</cp:coreProperties>
</file>